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Product &amp; Sales Learning/Trading Enterprise/3. Training Plan/"/>
    </mc:Choice>
  </mc:AlternateContent>
  <xr:revisionPtr revIDLastSave="3032" documentId="8_{413FAD71-AB23-4F33-AC9E-5838FC7CA74A}" xr6:coauthVersionLast="47" xr6:coauthVersionMax="47" xr10:uidLastSave="{C5165AF0-73C9-4FFB-A6C7-47BF9D79CCDE}"/>
  <bookViews>
    <workbookView xWindow="-110" yWindow="-110" windowWidth="19420" windowHeight="11500" tabRatio="884" xr2:uid="{00000000-000D-0000-FFFF-FFFF00000000}"/>
  </bookViews>
  <sheets>
    <sheet name="2025" sheetId="1" r:id="rId1"/>
    <sheet name="Jan" sheetId="29" r:id="rId2"/>
    <sheet name="Feb" sheetId="30" r:id="rId3"/>
    <sheet name="Mar" sheetId="31" r:id="rId4"/>
    <sheet name="April" sheetId="19" r:id="rId5"/>
    <sheet name="May" sheetId="11" r:id="rId6"/>
    <sheet name="Jun" sheetId="23" r:id="rId7"/>
    <sheet name="July" sheetId="24" r:id="rId8"/>
    <sheet name="Aug" sheetId="26" r:id="rId9"/>
    <sheet name="Sep" sheetId="18" r:id="rId10"/>
    <sheet name="Oct" sheetId="20" r:id="rId11"/>
    <sheet name="Nov" sheetId="13" r:id="rId12"/>
    <sheet name="Dec" sheetId="33" r:id="rId13"/>
    <sheet name="Overall IMI Status" sheetId="35" r:id="rId14"/>
  </sheets>
  <definedNames>
    <definedName name="_xlnm._FilterDatabase" localSheetId="0" hidden="1">'2025'!$A$2:$U$27</definedName>
    <definedName name="_xlnm._FilterDatabase" localSheetId="12" hidden="1">Dec!#REF!</definedName>
    <definedName name="_xlnm._FilterDatabase" localSheetId="2" hidden="1">Feb!#REF!</definedName>
    <definedName name="_xlnm._FilterDatabase" localSheetId="1" hidden="1">Jan!#REF!</definedName>
    <definedName name="_xlnm._FilterDatabase" localSheetId="3" hidden="1">Mar!$A$2:$F$168</definedName>
    <definedName name="_xlnm._FilterDatabase" localSheetId="11" hidden="1">Nov!#REF!</definedName>
    <definedName name="_xlnm._FilterDatabase" localSheetId="10" hidden="1">Oct!$A$1:$J$11</definedName>
    <definedName name="April" localSheetId="0">#REF!</definedName>
    <definedName name="April" localSheetId="4">#REF!</definedName>
    <definedName name="April" localSheetId="8">#REF!</definedName>
    <definedName name="April" localSheetId="12">#REF!</definedName>
    <definedName name="April" localSheetId="2">#REF!</definedName>
    <definedName name="April" localSheetId="1">#REF!</definedName>
    <definedName name="April" localSheetId="7">#REF!</definedName>
    <definedName name="April" localSheetId="6">#REF!</definedName>
    <definedName name="April" localSheetId="3">#REF!</definedName>
    <definedName name="April" localSheetId="5">#REF!</definedName>
    <definedName name="April" localSheetId="11">#REF!</definedName>
    <definedName name="April" localSheetId="10">#REF!</definedName>
    <definedName name="April" localSheetId="9">#REF!</definedName>
    <definedName name="April">#REF!</definedName>
    <definedName name="August" localSheetId="0">#REF!</definedName>
    <definedName name="August" localSheetId="4">#REF!</definedName>
    <definedName name="August" localSheetId="8">#REF!</definedName>
    <definedName name="August" localSheetId="12">#REF!</definedName>
    <definedName name="August" localSheetId="2">#REF!</definedName>
    <definedName name="August" localSheetId="1">#REF!</definedName>
    <definedName name="August" localSheetId="7">#REF!</definedName>
    <definedName name="August" localSheetId="6">#REF!</definedName>
    <definedName name="August" localSheetId="3">#REF!</definedName>
    <definedName name="August" localSheetId="5">#REF!</definedName>
    <definedName name="August" localSheetId="11">#REF!</definedName>
    <definedName name="August" localSheetId="10">#REF!</definedName>
    <definedName name="August" localSheetId="9">#REF!</definedName>
    <definedName name="August">#REF!</definedName>
    <definedName name="December" localSheetId="0">#REF!</definedName>
    <definedName name="December" localSheetId="4">#REF!</definedName>
    <definedName name="December" localSheetId="8">#REF!</definedName>
    <definedName name="December" localSheetId="12">#REF!</definedName>
    <definedName name="December" localSheetId="2">#REF!</definedName>
    <definedName name="December" localSheetId="1">#REF!</definedName>
    <definedName name="December" localSheetId="7">#REF!</definedName>
    <definedName name="December" localSheetId="6">#REF!</definedName>
    <definedName name="December" localSheetId="3">#REF!</definedName>
    <definedName name="December" localSheetId="5">#REF!</definedName>
    <definedName name="December" localSheetId="11">#REF!</definedName>
    <definedName name="December" localSheetId="10">#REF!</definedName>
    <definedName name="December" localSheetId="9">#REF!</definedName>
    <definedName name="December">#REF!</definedName>
    <definedName name="Feb" localSheetId="0">#REF!</definedName>
    <definedName name="Feb" localSheetId="4">#REF!</definedName>
    <definedName name="Feb" localSheetId="8">#REF!</definedName>
    <definedName name="Feb" localSheetId="12">#REF!</definedName>
    <definedName name="Feb" localSheetId="2">#REF!</definedName>
    <definedName name="Feb" localSheetId="1">#REF!</definedName>
    <definedName name="Feb" localSheetId="7">#REF!</definedName>
    <definedName name="Feb" localSheetId="6">#REF!</definedName>
    <definedName name="Feb" localSheetId="3">#REF!</definedName>
    <definedName name="Feb" localSheetId="5">#REF!</definedName>
    <definedName name="Feb" localSheetId="11">#REF!</definedName>
    <definedName name="Feb" localSheetId="10">#REF!</definedName>
    <definedName name="Feb" localSheetId="9">#REF!</definedName>
    <definedName name="Feb">#REF!</definedName>
    <definedName name="Jan" localSheetId="0">#REF!</definedName>
    <definedName name="Jan" localSheetId="4">#REF!</definedName>
    <definedName name="Jan" localSheetId="8">#REF!</definedName>
    <definedName name="Jan" localSheetId="12">#REF!</definedName>
    <definedName name="Jan" localSheetId="2">#REF!</definedName>
    <definedName name="Jan" localSheetId="1">#REF!</definedName>
    <definedName name="Jan" localSheetId="7">#REF!</definedName>
    <definedName name="Jan" localSheetId="6">#REF!</definedName>
    <definedName name="Jan" localSheetId="3">#REF!</definedName>
    <definedName name="Jan" localSheetId="5">#REF!</definedName>
    <definedName name="Jan" localSheetId="11">#REF!</definedName>
    <definedName name="Jan" localSheetId="10">#REF!</definedName>
    <definedName name="Jan" localSheetId="9">#REF!</definedName>
    <definedName name="Jan">#REF!</definedName>
    <definedName name="July" localSheetId="0">#REF!</definedName>
    <definedName name="July" localSheetId="4">#REF!</definedName>
    <definedName name="July" localSheetId="8">#REF!</definedName>
    <definedName name="July" localSheetId="12">#REF!</definedName>
    <definedName name="July" localSheetId="2">#REF!</definedName>
    <definedName name="July" localSheetId="1">#REF!</definedName>
    <definedName name="July" localSheetId="7">#REF!</definedName>
    <definedName name="July" localSheetId="6">#REF!</definedName>
    <definedName name="July" localSheetId="3">#REF!</definedName>
    <definedName name="July" localSheetId="5">#REF!</definedName>
    <definedName name="July" localSheetId="11">#REF!</definedName>
    <definedName name="July" localSheetId="10">#REF!</definedName>
    <definedName name="July" localSheetId="9">#REF!</definedName>
    <definedName name="July">#REF!</definedName>
    <definedName name="June" localSheetId="0">#REF!</definedName>
    <definedName name="June" localSheetId="4">#REF!</definedName>
    <definedName name="June" localSheetId="8">#REF!</definedName>
    <definedName name="June" localSheetId="12">#REF!</definedName>
    <definedName name="June" localSheetId="2">#REF!</definedName>
    <definedName name="June" localSheetId="1">#REF!</definedName>
    <definedName name="June" localSheetId="7">#REF!</definedName>
    <definedName name="June" localSheetId="6">#REF!</definedName>
    <definedName name="June" localSheetId="3">#REF!</definedName>
    <definedName name="June" localSheetId="5">#REF!</definedName>
    <definedName name="June" localSheetId="11">#REF!</definedName>
    <definedName name="June" localSheetId="10">#REF!</definedName>
    <definedName name="June" localSheetId="9">#REF!</definedName>
    <definedName name="June">#REF!</definedName>
    <definedName name="Mar" localSheetId="0">#REF!</definedName>
    <definedName name="Mar" localSheetId="4">#REF!</definedName>
    <definedName name="Mar" localSheetId="8">#REF!</definedName>
    <definedName name="Mar" localSheetId="12">#REF!</definedName>
    <definedName name="Mar" localSheetId="2">#REF!</definedName>
    <definedName name="Mar" localSheetId="1">#REF!</definedName>
    <definedName name="Mar" localSheetId="7">#REF!</definedName>
    <definedName name="Mar" localSheetId="6">#REF!</definedName>
    <definedName name="Mar" localSheetId="3">#REF!</definedName>
    <definedName name="Mar" localSheetId="5">#REF!</definedName>
    <definedName name="Mar" localSheetId="11">#REF!</definedName>
    <definedName name="Mar" localSheetId="10">#REF!</definedName>
    <definedName name="Mar" localSheetId="9">#REF!</definedName>
    <definedName name="Mar">#REF!</definedName>
    <definedName name="May" localSheetId="0">#REF!</definedName>
    <definedName name="May" localSheetId="4">#REF!</definedName>
    <definedName name="May" localSheetId="8">#REF!</definedName>
    <definedName name="May" localSheetId="12">#REF!</definedName>
    <definedName name="May" localSheetId="2">#REF!</definedName>
    <definedName name="May" localSheetId="1">#REF!</definedName>
    <definedName name="May" localSheetId="7">#REF!</definedName>
    <definedName name="May" localSheetId="6">#REF!</definedName>
    <definedName name="May" localSheetId="3">#REF!</definedName>
    <definedName name="May" localSheetId="5">#REF!</definedName>
    <definedName name="May" localSheetId="11">#REF!</definedName>
    <definedName name="May" localSheetId="10">#REF!</definedName>
    <definedName name="May" localSheetId="9">#REF!</definedName>
    <definedName name="May">#REF!</definedName>
    <definedName name="November" localSheetId="0">#REF!</definedName>
    <definedName name="November" localSheetId="4">#REF!</definedName>
    <definedName name="November" localSheetId="8">#REF!</definedName>
    <definedName name="November" localSheetId="12">#REF!</definedName>
    <definedName name="November" localSheetId="2">#REF!</definedName>
    <definedName name="November" localSheetId="1">#REF!</definedName>
    <definedName name="November" localSheetId="7">#REF!</definedName>
    <definedName name="November" localSheetId="6">#REF!</definedName>
    <definedName name="November" localSheetId="3">#REF!</definedName>
    <definedName name="November" localSheetId="5">#REF!</definedName>
    <definedName name="November" localSheetId="11">#REF!</definedName>
    <definedName name="November" localSheetId="10">#REF!</definedName>
    <definedName name="November" localSheetId="9">#REF!</definedName>
    <definedName name="November">#REF!</definedName>
    <definedName name="October" localSheetId="0">#REF!</definedName>
    <definedName name="October" localSheetId="4">#REF!</definedName>
    <definedName name="October" localSheetId="8">#REF!</definedName>
    <definedName name="October" localSheetId="12">#REF!</definedName>
    <definedName name="October" localSheetId="2">#REF!</definedName>
    <definedName name="October" localSheetId="1">#REF!</definedName>
    <definedName name="October" localSheetId="7">#REF!</definedName>
    <definedName name="October" localSheetId="6">#REF!</definedName>
    <definedName name="October" localSheetId="3">#REF!</definedName>
    <definedName name="October" localSheetId="5">#REF!</definedName>
    <definedName name="October" localSheetId="11">#REF!</definedName>
    <definedName name="October" localSheetId="10">#REF!</definedName>
    <definedName name="October" localSheetId="9">#REF!</definedName>
    <definedName name="October">#REF!</definedName>
    <definedName name="Plan_2016" localSheetId="0">#REF!</definedName>
    <definedName name="Plan_2016" localSheetId="4">#REF!</definedName>
    <definedName name="Plan_2016" localSheetId="8">#REF!</definedName>
    <definedName name="Plan_2016" localSheetId="12">#REF!</definedName>
    <definedName name="Plan_2016" localSheetId="2">#REF!</definedName>
    <definedName name="Plan_2016" localSheetId="1">#REF!</definedName>
    <definedName name="Plan_2016" localSheetId="7">#REF!</definedName>
    <definedName name="Plan_2016" localSheetId="6">#REF!</definedName>
    <definedName name="Plan_2016" localSheetId="3">#REF!</definedName>
    <definedName name="Plan_2016" localSheetId="5">#REF!</definedName>
    <definedName name="Plan_2016" localSheetId="11">#REF!</definedName>
    <definedName name="Plan_2016" localSheetId="10">#REF!</definedName>
    <definedName name="Plan_2016" localSheetId="9">#REF!</definedName>
    <definedName name="Plan_2016">#REF!</definedName>
    <definedName name="Plan_2017" localSheetId="0">#REF!</definedName>
    <definedName name="Plan_2017" localSheetId="4">#REF!</definedName>
    <definedName name="Plan_2017" localSheetId="8">#REF!</definedName>
    <definedName name="Plan_2017" localSheetId="12">#REF!</definedName>
    <definedName name="Plan_2017" localSheetId="2">#REF!</definedName>
    <definedName name="Plan_2017" localSheetId="1">#REF!</definedName>
    <definedName name="Plan_2017" localSheetId="7">#REF!</definedName>
    <definedName name="Plan_2017" localSheetId="6">#REF!</definedName>
    <definedName name="Plan_2017" localSheetId="3">#REF!</definedName>
    <definedName name="Plan_2017" localSheetId="5">#REF!</definedName>
    <definedName name="Plan_2017" localSheetId="11">#REF!</definedName>
    <definedName name="Plan_2017" localSheetId="10">#REF!</definedName>
    <definedName name="Plan_2017" localSheetId="9">#REF!</definedName>
    <definedName name="Plan_2017">#REF!</definedName>
    <definedName name="_xlnm.Print_Area" localSheetId="0">'2025'!$A$2:$U$27</definedName>
    <definedName name="September" localSheetId="0">#REF!</definedName>
    <definedName name="September" localSheetId="4">#REF!</definedName>
    <definedName name="September" localSheetId="8">#REF!</definedName>
    <definedName name="September" localSheetId="12">#REF!</definedName>
    <definedName name="September" localSheetId="2">#REF!</definedName>
    <definedName name="September" localSheetId="1">#REF!</definedName>
    <definedName name="September" localSheetId="7">#REF!</definedName>
    <definedName name="September" localSheetId="6">#REF!</definedName>
    <definedName name="September" localSheetId="3">#REF!</definedName>
    <definedName name="September" localSheetId="5">#REF!</definedName>
    <definedName name="September" localSheetId="11">#REF!</definedName>
    <definedName name="September" localSheetId="10">#REF!</definedName>
    <definedName name="September" localSheetId="9">#REF!</definedName>
    <definedName name="September">#REF!</definedName>
    <definedName name="Sumary_Results" localSheetId="0">#REF!</definedName>
    <definedName name="Sumary_Results" localSheetId="4">#REF!</definedName>
    <definedName name="Sumary_Results" localSheetId="8">#REF!</definedName>
    <definedName name="Sumary_Results" localSheetId="12">#REF!</definedName>
    <definedName name="Sumary_Results" localSheetId="2">#REF!</definedName>
    <definedName name="Sumary_Results" localSheetId="1">#REF!</definedName>
    <definedName name="Sumary_Results" localSheetId="7">#REF!</definedName>
    <definedName name="Sumary_Results" localSheetId="6">#REF!</definedName>
    <definedName name="Sumary_Results" localSheetId="3">#REF!</definedName>
    <definedName name="Sumary_Results" localSheetId="5">#REF!</definedName>
    <definedName name="Sumary_Results" localSheetId="11">#REF!</definedName>
    <definedName name="Sumary_Results" localSheetId="10">#REF!</definedName>
    <definedName name="Sumary_Results" localSheetId="9">#REF!</definedName>
    <definedName name="Sumary_Resul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0" l="1"/>
  <c r="Q6" i="20"/>
  <c r="O7" i="20"/>
  <c r="O6" i="20"/>
  <c r="N7" i="20"/>
  <c r="N6" i="20"/>
  <c r="P7" i="20"/>
  <c r="M7" i="20"/>
  <c r="P6" i="20"/>
  <c r="M6" i="20"/>
  <c r="D18" i="35"/>
  <c r="F9" i="35"/>
  <c r="C9" i="35"/>
  <c r="F8" i="35"/>
  <c r="F7" i="35"/>
  <c r="C8" i="35"/>
  <c r="C7" i="35"/>
  <c r="G8" i="35"/>
  <c r="G9" i="35"/>
  <c r="F5" i="35"/>
  <c r="G5" i="35" s="1"/>
  <c r="D5" i="35"/>
  <c r="C5" i="35"/>
  <c r="C3" i="35"/>
  <c r="C6" i="35"/>
  <c r="F6" i="35"/>
  <c r="F4" i="35"/>
  <c r="G4" i="35" s="1"/>
  <c r="D4" i="35"/>
  <c r="C4" i="35"/>
  <c r="G12" i="35"/>
  <c r="G10" i="35"/>
  <c r="G11" i="35"/>
  <c r="F3" i="35"/>
  <c r="D3" i="35"/>
  <c r="G7" i="35" l="1"/>
  <c r="G6" i="35"/>
  <c r="G3" i="35"/>
  <c r="N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tc={CC2BA371-1CFE-4E03-ADDE-F2F17768AF77}</author>
  </authors>
  <commentList>
    <comment ref="C29" authorId="0" shapeId="0" xr:uid="{CC2BA371-1CFE-4E03-ADDE-F2F17768AF77}">
      <text>
        <t>[Threaded comment]
Your version of Excel allows you to read this threaded comment; however, any edits to it will get removed if the file is opened in a newer version of Excel. Learn more: https://go.microsoft.com/fwlink/?linkid=870924
Comment:
    MY26 model year change in UAE in August. Qatar will directly get the MY26(not in Aug anymore - there is a delay (dates to be confirmed)</t>
      </text>
    </comment>
  </commentList>
</comments>
</file>

<file path=xl/sharedStrings.xml><?xml version="1.0" encoding="utf-8"?>
<sst xmlns="http://schemas.openxmlformats.org/spreadsheetml/2006/main" count="2431" uniqueCount="473">
  <si>
    <t>Brand Sales Training Calendar 2025</t>
  </si>
  <si>
    <t xml:space="preserve"> January 2025 - March 2026</t>
  </si>
  <si>
    <t>Version</t>
  </si>
  <si>
    <t>Updated</t>
  </si>
  <si>
    <t>COURSE 
CATEGORY</t>
  </si>
  <si>
    <t>BUSINESS</t>
  </si>
  <si>
    <t>Course Name</t>
  </si>
  <si>
    <t>Roles</t>
  </si>
  <si>
    <t>Duration</t>
  </si>
  <si>
    <t>January</t>
  </si>
  <si>
    <t>February</t>
  </si>
  <si>
    <t>March</t>
  </si>
  <si>
    <r>
      <t xml:space="preserve">April
</t>
    </r>
    <r>
      <rPr>
        <b/>
        <sz val="14"/>
        <color theme="5"/>
        <rFont val="Arial"/>
        <family val="2"/>
      </rPr>
      <t>NEW KI (102)</t>
    </r>
  </si>
  <si>
    <t>May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</si>
  <si>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</si>
  <si>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</si>
  <si>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</si>
  <si>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</si>
  <si>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</si>
  <si>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</si>
  <si>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</si>
  <si>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# of Technicians
 From June</t>
  </si>
  <si>
    <t># of Hours
 From June</t>
  </si>
  <si>
    <t>Sales Qualification (Bronze, Silver, Showroom Manager)</t>
  </si>
  <si>
    <t>SE, SM</t>
  </si>
  <si>
    <t>IMI EV Level 1 - Multiple sessions run monthly</t>
  </si>
  <si>
    <t>All</t>
  </si>
  <si>
    <t>1 Day</t>
  </si>
  <si>
    <t xml:space="preserve">Selling Honda Technology </t>
  </si>
  <si>
    <t>SE</t>
  </si>
  <si>
    <t>2 Days</t>
  </si>
  <si>
    <t>15-16</t>
  </si>
  <si>
    <r>
      <rPr>
        <b/>
        <sz val="11"/>
        <color theme="5"/>
        <rFont val="Arial"/>
        <family val="2"/>
      </rPr>
      <t>Training in HAMER UAE</t>
    </r>
    <r>
      <rPr>
        <b/>
        <sz val="13"/>
        <rFont val="Arial"/>
        <family val="2"/>
      </rPr>
      <t xml:space="preserve">
Dates (TBC)</t>
    </r>
  </si>
  <si>
    <t>Dates (TBC)</t>
  </si>
  <si>
    <t xml:space="preserve">MY25 MMC - HRV &amp; CIVIC </t>
  </si>
  <si>
    <t>SE/SM</t>
  </si>
  <si>
    <t>10,11</t>
  </si>
  <si>
    <t>Honda Competitor Roadshow: Accord HEV &amp; 1.5L PET</t>
  </si>
  <si>
    <t>0.5 Day</t>
  </si>
  <si>
    <t>QATAR: 17,18</t>
  </si>
  <si>
    <t>OMAN: 22,23</t>
  </si>
  <si>
    <t>CITY Competitor Roadshow</t>
  </si>
  <si>
    <t>UAE: 14, 15, 16, 17, 18</t>
  </si>
  <si>
    <r>
      <t xml:space="preserve">ZRV Competitor Roadshow
</t>
    </r>
    <r>
      <rPr>
        <b/>
        <sz val="11"/>
        <color rgb="FFFF0000"/>
        <rFont val="Arial"/>
        <family val="2"/>
      </rPr>
      <t>Tentatively blocked - will be confirmed and adjusted based on market needs and priorities</t>
    </r>
  </si>
  <si>
    <r>
      <t xml:space="preserve">Pilot Competitor Roadshow
</t>
    </r>
    <r>
      <rPr>
        <b/>
        <sz val="11"/>
        <color rgb="FFFF0000"/>
        <rFont val="Arial"/>
        <family val="2"/>
      </rPr>
      <t>Tentatively blocked - will be confirmed and adjusted based on market needs and priorities</t>
    </r>
  </si>
  <si>
    <r>
      <t xml:space="preserve">CRV Competitor Roadshow
</t>
    </r>
    <r>
      <rPr>
        <b/>
        <sz val="11"/>
        <color rgb="FFFF0000"/>
        <rFont val="Arial"/>
        <family val="2"/>
      </rPr>
      <t>Tentatively blocked - will be confirmed and adjusted based on market needs and priorities</t>
    </r>
  </si>
  <si>
    <t>ZRV eLearning Product Refresher</t>
  </si>
  <si>
    <r>
      <t xml:space="preserve">✓
</t>
    </r>
    <r>
      <rPr>
        <b/>
        <sz val="13"/>
        <rFont val="Arial"/>
        <family val="2"/>
      </rPr>
      <t>Launch</t>
    </r>
  </si>
  <si>
    <t>Accord HEV Enhancement</t>
  </si>
  <si>
    <r>
      <t xml:space="preserve">✓
</t>
    </r>
    <r>
      <rPr>
        <b/>
        <sz val="13"/>
        <color rgb="FF00B050"/>
        <rFont val="Arial"/>
        <family val="2"/>
      </rPr>
      <t>Guide</t>
    </r>
  </si>
  <si>
    <r>
      <t xml:space="preserve">✓
</t>
    </r>
    <r>
      <rPr>
        <b/>
        <sz val="13"/>
        <rFont val="Arial"/>
        <family val="2"/>
      </rPr>
      <t>EDU Videos</t>
    </r>
  </si>
  <si>
    <r>
      <t xml:space="preserve">✓
</t>
    </r>
    <r>
      <rPr>
        <b/>
        <sz val="13"/>
        <rFont val="Arial"/>
        <family val="2"/>
      </rPr>
      <t>EV Mini Contest</t>
    </r>
  </si>
  <si>
    <r>
      <t xml:space="preserve">✓
</t>
    </r>
    <r>
      <rPr>
        <b/>
        <sz val="13"/>
        <rFont val="Arial"/>
        <family val="2"/>
      </rPr>
      <t>In-house session (TBC)</t>
    </r>
  </si>
  <si>
    <t>Onsite Evaluation (TBC)</t>
  </si>
  <si>
    <t>SC Motivational Talk</t>
  </si>
  <si>
    <t>Honda Tech. Guide (Book)</t>
  </si>
  <si>
    <r>
      <t xml:space="preserve">✓
</t>
    </r>
    <r>
      <rPr>
        <b/>
        <sz val="13"/>
        <rFont val="Arial"/>
        <family val="2"/>
      </rPr>
      <t>Assess. (TBC)</t>
    </r>
  </si>
  <si>
    <t>Sales Process (Module 1 &amp; 2) -
1. Prospecting &amp; Welcome
2. Qualification</t>
  </si>
  <si>
    <t>QATAR: 8, 10</t>
  </si>
  <si>
    <t>OMAN: 18, 20</t>
  </si>
  <si>
    <t>Sales Process (Module 3 &amp; 4) -
3. Presentation &amp; Demonstration
4. Negotiation &amp; Closing</t>
  </si>
  <si>
    <t>OMAN: 13, 15</t>
  </si>
  <si>
    <t>Sales Process (Module 5) -
5. Delivery &amp; Follow Up</t>
  </si>
  <si>
    <t xml:space="preserve">  </t>
  </si>
  <si>
    <t>QATAR: 9, 11</t>
  </si>
  <si>
    <t>0.5 Days</t>
  </si>
  <si>
    <t>Customer Communications
(Techniques, Profiling &amp; Interaction, Emotional Intelligence )</t>
  </si>
  <si>
    <t>OMAN: 19, 21</t>
  </si>
  <si>
    <r>
      <t xml:space="preserve">Showroom Manager Qualification
(Level 4)
</t>
    </r>
    <r>
      <rPr>
        <b/>
        <sz val="11"/>
        <color rgb="FFFF0000"/>
        <rFont val="Arial"/>
        <family val="2"/>
      </rPr>
      <t>New Managers</t>
    </r>
  </si>
  <si>
    <t>SM</t>
  </si>
  <si>
    <r>
      <rPr>
        <b/>
        <sz val="11"/>
        <color theme="5"/>
        <rFont val="Arial"/>
        <family val="2"/>
      </rPr>
      <t>Training in HAMER UAE</t>
    </r>
    <r>
      <rPr>
        <b/>
        <sz val="13"/>
        <color theme="1"/>
        <rFont val="Arial"/>
        <family val="2"/>
      </rPr>
      <t xml:space="preserve">
Dates (TBC)</t>
    </r>
  </si>
  <si>
    <t>Showroom Manager Qualification
(Level 5)</t>
  </si>
  <si>
    <t>Showroom Fundamentals</t>
  </si>
  <si>
    <r>
      <rPr>
        <b/>
        <sz val="13"/>
        <color theme="1"/>
        <rFont val="Arial"/>
        <family val="2"/>
      </rPr>
      <t xml:space="preserve">9, </t>
    </r>
    <r>
      <rPr>
        <b/>
        <sz val="13"/>
        <rFont val="Arial"/>
        <family val="2"/>
      </rPr>
      <t>22, 25</t>
    </r>
  </si>
  <si>
    <t>5, 13, 14</t>
  </si>
  <si>
    <t>Selling Honda Technology 15-16 Jan ( MS Teams</t>
  </si>
  <si>
    <t>Country</t>
  </si>
  <si>
    <t xml:space="preserve">Branch </t>
  </si>
  <si>
    <t>Employee No.</t>
  </si>
  <si>
    <t>Name of the Participant</t>
  </si>
  <si>
    <t>Designation</t>
  </si>
  <si>
    <t>Email</t>
  </si>
  <si>
    <t>Attendance</t>
  </si>
  <si>
    <t>QAT</t>
  </si>
  <si>
    <t>Doha Branch</t>
  </si>
  <si>
    <t>Naima Jaber</t>
  </si>
  <si>
    <t>Sales Consultant</t>
  </si>
  <si>
    <t>naima.jaber@alfuttaim.com</t>
  </si>
  <si>
    <t>Attended</t>
  </si>
  <si>
    <t>UAE</t>
  </si>
  <si>
    <t>Dubai Festival City</t>
  </si>
  <si>
    <t>Abbas Zakeri</t>
  </si>
  <si>
    <t>abbas.zakeri@alfuttaim.com</t>
  </si>
  <si>
    <t>AD</t>
  </si>
  <si>
    <t>Mohammad Gulrez</t>
  </si>
  <si>
    <t>gulrez.khan@alfuttaim.com</t>
  </si>
  <si>
    <t>Sharjah S/R</t>
  </si>
  <si>
    <t>Willie Castro</t>
  </si>
  <si>
    <t>WILLIE.CASTRO@ALFUTTAIM.COM</t>
  </si>
  <si>
    <t xml:space="preserve"> 25 MY HRV &amp; CIVIC (MMC)  | 10th Feb 2025 |Session 1 - 10:00am to 11:00am (UAE Time)</t>
  </si>
  <si>
    <t>Time</t>
  </si>
  <si>
    <t>Invited</t>
  </si>
  <si>
    <t>UAN</t>
  </si>
  <si>
    <t>Mubarak Ghanem</t>
  </si>
  <si>
    <t>GRO</t>
  </si>
  <si>
    <t>Didn’t Attend</t>
  </si>
  <si>
    <t xml:space="preserve">Masood </t>
  </si>
  <si>
    <t>BSM</t>
  </si>
  <si>
    <t>Mohammed Yousry</t>
  </si>
  <si>
    <t>Mohammed Gulrez</t>
  </si>
  <si>
    <t>ALAIN</t>
  </si>
  <si>
    <t>Jessem Ismail</t>
  </si>
  <si>
    <t>Amr ELNaggar</t>
  </si>
  <si>
    <t>DOH</t>
  </si>
  <si>
    <t>Moez Bennani</t>
  </si>
  <si>
    <t>Slim Jatlawi</t>
  </si>
  <si>
    <t>DFC</t>
  </si>
  <si>
    <t>Ahmad Hmidi</t>
  </si>
  <si>
    <t>Key Accounts Manager</t>
  </si>
  <si>
    <t>Attended - 4th session</t>
  </si>
  <si>
    <t>Tareq Huleisy</t>
  </si>
  <si>
    <t>SHJ</t>
  </si>
  <si>
    <t xml:space="preserve">Sadik </t>
  </si>
  <si>
    <t>Shamma</t>
  </si>
  <si>
    <t>Sales Coordinator</t>
  </si>
  <si>
    <t>RAK</t>
  </si>
  <si>
    <t>Maryam</t>
  </si>
  <si>
    <t>Balqais</t>
  </si>
  <si>
    <t xml:space="preserve"> 25 MY HRV &amp; CIVIC (MMC)  | Session 1 - 3:00pm to 4:00pm (UAE Time)</t>
  </si>
  <si>
    <t>Farah Abou Zolof</t>
  </si>
  <si>
    <t>Prathap</t>
  </si>
  <si>
    <t>Eslam Abdulaziz</t>
  </si>
  <si>
    <t>DOHA</t>
  </si>
  <si>
    <t>Najeebulla Moh Nizar</t>
  </si>
  <si>
    <t>Catherine Yusion</t>
  </si>
  <si>
    <t>SHAHIDNOOR</t>
  </si>
  <si>
    <t>OMAN</t>
  </si>
  <si>
    <t>Salalah</t>
  </si>
  <si>
    <t>Bushra Al Saidi</t>
  </si>
  <si>
    <t>Sohar</t>
  </si>
  <si>
    <t>Waleed Al Balushi</t>
  </si>
  <si>
    <t>Muscat</t>
  </si>
  <si>
    <t>Ahmed Al Kindi</t>
  </si>
  <si>
    <t>Fleet Manager</t>
  </si>
  <si>
    <t>Ameer Al Maawali</t>
  </si>
  <si>
    <t>WILFRED</t>
  </si>
  <si>
    <t>NAGLA</t>
  </si>
  <si>
    <t>ALI</t>
  </si>
  <si>
    <t xml:space="preserve">UAE </t>
  </si>
  <si>
    <t>ABBAS</t>
  </si>
  <si>
    <t>CAIOU</t>
  </si>
  <si>
    <t>ARLENE</t>
  </si>
  <si>
    <t>Invited for session 4</t>
  </si>
  <si>
    <t>WALID</t>
  </si>
  <si>
    <t>ABDELRAHMAN</t>
  </si>
  <si>
    <t xml:space="preserve"> 25 MY HRV &amp; CIVIC (MMC)  | 11th Feb 2025 |Session 1 - 10:00am to 11:00am (UAE Time)</t>
  </si>
  <si>
    <t>Alawiya</t>
  </si>
  <si>
    <t>Rahma Hassan</t>
  </si>
  <si>
    <t>Bilal Javed</t>
  </si>
  <si>
    <t xml:space="preserve">Mahdi Alshik </t>
  </si>
  <si>
    <t>Mariem AL-Rayes</t>
  </si>
  <si>
    <t>Asad Siddiqui</t>
  </si>
  <si>
    <t>Frank Tony</t>
  </si>
  <si>
    <t>Layla</t>
  </si>
  <si>
    <t>Willie</t>
  </si>
  <si>
    <t>Amany</t>
  </si>
  <si>
    <t>Mohammed Yaghy</t>
  </si>
  <si>
    <t>Essa Abdul Baqi</t>
  </si>
  <si>
    <t>MITHUN</t>
  </si>
  <si>
    <t>Aziza Al Shamzi</t>
  </si>
  <si>
    <t>Alia Al Jabri</t>
  </si>
  <si>
    <t>Moataz Mohsin</t>
  </si>
  <si>
    <t>Dhiyab Al Kadhari</t>
  </si>
  <si>
    <t>Salim Al Abri</t>
  </si>
  <si>
    <t>Nadia Al Balushi</t>
  </si>
  <si>
    <t>Joe John</t>
  </si>
  <si>
    <t>DEEPAK</t>
  </si>
  <si>
    <t>SHAHID</t>
  </si>
  <si>
    <t>MOHAMED ZAROUR</t>
  </si>
  <si>
    <t>Invited for session 2</t>
  </si>
  <si>
    <t>Invited for session 1</t>
  </si>
  <si>
    <t>Honda Accord eHEV and 1.5L PET - Roadshow (QATAR)  | 17th Feb 2025</t>
  </si>
  <si>
    <t xml:space="preserve">Sales Executive </t>
  </si>
  <si>
    <t>1:00pm to 5:00pm</t>
  </si>
  <si>
    <t>Najeeb Nizar</t>
  </si>
  <si>
    <t>najeeb.nizar@alfuttaim.com</t>
  </si>
  <si>
    <t>Jibin Johnny</t>
  </si>
  <si>
    <t>Fleet Sales Consultant</t>
  </si>
  <si>
    <t>JIBIN.JOHNY@ALFUTTAIM.COM</t>
  </si>
  <si>
    <t xml:space="preserve">Honda Accord eHEV and 1.5L PET - Roadshow (QATAR)  | 18th Feb 2025 </t>
  </si>
  <si>
    <t xml:space="preserve">Catherine Yusion </t>
  </si>
  <si>
    <t>catherine.yuson@alfuttaim.com</t>
  </si>
  <si>
    <t>9:00am to 1:00pm</t>
  </si>
  <si>
    <t xml:space="preserve">Moez Bennani </t>
  </si>
  <si>
    <t>moez.bennani@alfuttaim.com</t>
  </si>
  <si>
    <t>Mohamed Tousif</t>
  </si>
  <si>
    <t>MOHAMED.TOUSIF@ALFUTTAIM.COM</t>
  </si>
  <si>
    <t>No Trainings in March</t>
  </si>
  <si>
    <t>Showroom Fundamentals Apr 19</t>
  </si>
  <si>
    <t>Amr Mahmoud Lotfy Mohamed Elnaggar</t>
  </si>
  <si>
    <t>Sales Manager</t>
  </si>
  <si>
    <t>8:30-4:30 PM</t>
  </si>
  <si>
    <t>Masud Nabi Nadeem</t>
  </si>
  <si>
    <t>Apr. 22</t>
  </si>
  <si>
    <t>Essa Abdulbaqi Ahmad Zakariya</t>
  </si>
  <si>
    <t>Apr. 24</t>
  </si>
  <si>
    <t>Rizwan Haider Zaidi</t>
  </si>
  <si>
    <t>Sales Manager - PP ME &amp; Marine</t>
  </si>
  <si>
    <t>Honda Accord eHEV and 1.5L PET - Roadshow | 22 Mar</t>
  </si>
  <si>
    <t>Alia Mohammed Rashid Al Jabri</t>
  </si>
  <si>
    <t>Sales Consultant/Branch Manager</t>
  </si>
  <si>
    <t>alia.aljabry@alfuttaim.com</t>
  </si>
  <si>
    <t>N/A</t>
  </si>
  <si>
    <t>Laila Alzaabi</t>
  </si>
  <si>
    <t>External - Sales Consultant</t>
  </si>
  <si>
    <t>Laila.Alzaabi-External@alfuttaim.com</t>
  </si>
  <si>
    <t>Wattaya</t>
  </si>
  <si>
    <t>Sales Assistant</t>
  </si>
  <si>
    <t>ameer.almaawali@alfuttaim.com</t>
  </si>
  <si>
    <t>Dhiyab Salim Al Kadari</t>
  </si>
  <si>
    <t>dhiyab.alkadari@alfuttaim.com</t>
  </si>
  <si>
    <t>No show - Cancelled due to ticket issue</t>
  </si>
  <si>
    <t>Nadia Ali Al Balushi</t>
  </si>
  <si>
    <t>nadia.albalushi@alfuttaim.com</t>
  </si>
  <si>
    <t>Wattaya - used</t>
  </si>
  <si>
    <t>Nadia AlKalbani</t>
  </si>
  <si>
    <t>Nadyia.AlKalbani@alfuttaim.com</t>
  </si>
  <si>
    <t>Honda Accord eHEV and 1.5L PET - Roadshow | 23 Mar</t>
  </si>
  <si>
    <t>Waleed Al Balushy</t>
  </si>
  <si>
    <t>waleed.albalushi@alfuttaim.com</t>
  </si>
  <si>
    <t xml:space="preserve"> 9:00am to 1:00pm</t>
  </si>
  <si>
    <t>salim.alabri@alfuttaim.com</t>
  </si>
  <si>
    <t>No show - sick</t>
  </si>
  <si>
    <t>Aziza Al Shamsi</t>
  </si>
  <si>
    <t>aziza.alshamsi@alfuttaim.com</t>
  </si>
  <si>
    <t>joe.john@alfuttaim.com</t>
  </si>
  <si>
    <t>Bushra Alsaidi</t>
  </si>
  <si>
    <t>Bushra.Alsaidi@alfuttaim.com</t>
  </si>
  <si>
    <t>Fazalu Rehman</t>
  </si>
  <si>
    <t>Fazalu.Rehman@alfuttaim.com</t>
  </si>
  <si>
    <t>Wattaya branch</t>
  </si>
  <si>
    <t>Bushra Aladwani</t>
  </si>
  <si>
    <t xml:space="preserve">Wattaya </t>
  </si>
  <si>
    <t>Amani Khalifa</t>
  </si>
  <si>
    <t>May. 5</t>
  </si>
  <si>
    <t>Name</t>
  </si>
  <si>
    <t>Location</t>
  </si>
  <si>
    <t>No nomination- all invited</t>
  </si>
  <si>
    <t>May. 13</t>
  </si>
  <si>
    <t>May. 14</t>
  </si>
  <si>
    <t>Sales Manager- Honda</t>
  </si>
  <si>
    <t>Honda</t>
  </si>
  <si>
    <t>Ahmed Mohsen</t>
  </si>
  <si>
    <t>Sales Manager - Motorcycles</t>
  </si>
  <si>
    <t>Selling Honda Technology (MS Teams) - 10 to 12 June (3 hours each day)</t>
  </si>
  <si>
    <t>Abdelrahmen Abu Eida</t>
  </si>
  <si>
    <t>Abdelrahman.Abueida2@alfuttaim.com</t>
  </si>
  <si>
    <t>Mohamad Zaarour</t>
  </si>
  <si>
    <t>Mohamad.Zaarour@alfuttaim.com</t>
  </si>
  <si>
    <t>Naglaa Alrweny</t>
  </si>
  <si>
    <t>Naglaa.Alrweny@alfuttaim.com</t>
  </si>
  <si>
    <t>Shahidnoor Bukhari</t>
  </si>
  <si>
    <t>Shahidnoor.Bukhari@alfuttaim.com</t>
  </si>
  <si>
    <t>Abudhabi S/R</t>
  </si>
  <si>
    <t>Mohamed Yousry</t>
  </si>
  <si>
    <t>Mohamed.Yousry2@alfuttaim.com</t>
  </si>
  <si>
    <t>Sales Process (Module 1 &amp; 2) - 16 June</t>
  </si>
  <si>
    <t>Sadik</t>
  </si>
  <si>
    <t>Sales</t>
  </si>
  <si>
    <t>Farah</t>
  </si>
  <si>
    <t>Eslam</t>
  </si>
  <si>
    <t xml:space="preserve">SALES </t>
  </si>
  <si>
    <t>SALES</t>
  </si>
  <si>
    <t>Mahdi</t>
  </si>
  <si>
    <t>Sales Process (Module 1 &amp; 2) - 17 June</t>
  </si>
  <si>
    <t>Yaghy</t>
  </si>
  <si>
    <t>Gulrez</t>
  </si>
  <si>
    <t>Yousry</t>
  </si>
  <si>
    <t>Mithun</t>
  </si>
  <si>
    <t>caiou</t>
  </si>
  <si>
    <t>wilfred</t>
  </si>
  <si>
    <t>Sales Process (Module 1 &amp; 2) - 18 June</t>
  </si>
  <si>
    <t xml:space="preserve">RAK </t>
  </si>
  <si>
    <t xml:space="preserve">Maryam </t>
  </si>
  <si>
    <t>Sale</t>
  </si>
  <si>
    <t xml:space="preserve"> </t>
  </si>
  <si>
    <t>Bilal</t>
  </si>
  <si>
    <t>Moataz</t>
  </si>
  <si>
    <t>ABDEL</t>
  </si>
  <si>
    <t>Jeseem</t>
  </si>
  <si>
    <t>QATAR</t>
  </si>
  <si>
    <t>Sales Process (Module 3 &amp; 4) - 6 Aug</t>
  </si>
  <si>
    <t>Sales Process (Module 3 &amp; 4) - 11 Aug</t>
  </si>
  <si>
    <t>Wilfred</t>
  </si>
  <si>
    <t>Caiou</t>
  </si>
  <si>
    <t>Nagla</t>
  </si>
  <si>
    <t>Sales Process (Module 3 &amp; 4) - 13 Aug</t>
  </si>
  <si>
    <t>Deepak</t>
  </si>
  <si>
    <t>Zarour</t>
  </si>
  <si>
    <t xml:space="preserve">Walid </t>
  </si>
  <si>
    <t>Sales Process (Module 1 &amp; 2) - 18 Aug</t>
  </si>
  <si>
    <t>Customer Communications - 19 Aug</t>
  </si>
  <si>
    <t>Sales Process (Module 1 &amp; 2) - 20 Aug</t>
  </si>
  <si>
    <t>Customer Communications - 21 Aug</t>
  </si>
  <si>
    <t>Customer Communication - 16 Sept</t>
  </si>
  <si>
    <t>Customer Communication - 17 Sept</t>
  </si>
  <si>
    <t>Customer Communication - 18 Sept</t>
  </si>
  <si>
    <t>ZAROUR</t>
  </si>
  <si>
    <t>Sales Process (Module 5) - 2 Oct</t>
  </si>
  <si>
    <t>Arlene</t>
  </si>
  <si>
    <t>Sales Process (Module 5) - 7 Oct</t>
  </si>
  <si>
    <t>dfc</t>
  </si>
  <si>
    <t>Sales Process (Module 5) - 8 Oct</t>
  </si>
  <si>
    <t>Shahid</t>
  </si>
  <si>
    <t>Walid</t>
  </si>
  <si>
    <r>
      <t xml:space="preserve">Showroom Manager Qualification </t>
    </r>
    <r>
      <rPr>
        <b/>
        <sz val="12"/>
        <color rgb="FFFF0000"/>
        <rFont val="Calibri"/>
        <family val="2"/>
        <scheme val="minor"/>
      </rPr>
      <t>(new managers)</t>
    </r>
  </si>
  <si>
    <t>Sales Process - 
MESOS 2 - Planning &amp; Preparation
Not planned for this year</t>
  </si>
  <si>
    <t>Fleet</t>
  </si>
  <si>
    <t xml:space="preserve">Jibin K Johny </t>
  </si>
  <si>
    <t>jibin.johny@alfuttaim.com</t>
  </si>
  <si>
    <t>Yuson Catherine Bautista</t>
  </si>
  <si>
    <t>Retail SE</t>
  </si>
  <si>
    <t>Moez Ben Mohamed</t>
  </si>
  <si>
    <t xml:space="preserve">Volvo </t>
  </si>
  <si>
    <t>DENIS PERIERA</t>
  </si>
  <si>
    <t>Qatar</t>
  </si>
  <si>
    <t xml:space="preserve">Honda </t>
  </si>
  <si>
    <t xml:space="preserve">SLIM JATLAWI </t>
  </si>
  <si>
    <t>slim.jatlawi@alfuttaim.com</t>
  </si>
  <si>
    <t>Teams invite will be sent by HAMER middle east.</t>
  </si>
  <si>
    <t>Annual Leave</t>
  </si>
  <si>
    <r>
      <t xml:space="preserve">✓
</t>
    </r>
    <r>
      <rPr>
        <b/>
        <sz val="13"/>
        <color rgb="FF00B050"/>
        <rFont val="Arial"/>
        <family val="2"/>
      </rPr>
      <t>Distribution</t>
    </r>
  </si>
  <si>
    <r>
      <t xml:space="preserve">✓
</t>
    </r>
    <r>
      <rPr>
        <b/>
        <sz val="13"/>
        <color rgb="FF00B050"/>
        <rFont val="Arial"/>
        <family val="2"/>
      </rPr>
      <t>Launch</t>
    </r>
  </si>
  <si>
    <r>
      <rPr>
        <b/>
        <sz val="11"/>
        <color theme="5"/>
        <rFont val="Arial"/>
        <family val="2"/>
      </rPr>
      <t>MS Teams Session (3days-2hrs each)</t>
    </r>
    <r>
      <rPr>
        <b/>
        <sz val="11"/>
        <color rgb="FF00B050"/>
        <rFont val="Arial"/>
        <family val="2"/>
      </rPr>
      <t xml:space="preserve">
</t>
    </r>
    <r>
      <rPr>
        <b/>
        <sz val="13"/>
        <color rgb="FF00B050"/>
        <rFont val="Arial"/>
        <family val="2"/>
      </rPr>
      <t>10 - 12 June</t>
    </r>
  </si>
  <si>
    <t xml:space="preserve">Attended 18th </t>
  </si>
  <si>
    <t>Attended 18th June</t>
  </si>
  <si>
    <t>QATAR: 9, 11
UAE: 16, 17, 18</t>
  </si>
  <si>
    <t>Brand</t>
  </si>
  <si>
    <t>QATAR: 10, 12</t>
  </si>
  <si>
    <t>QATAR: 11, 13</t>
  </si>
  <si>
    <r>
      <t xml:space="preserve">Sales Volvo Thrive eLearning Completion
</t>
    </r>
    <r>
      <rPr>
        <b/>
        <sz val="11"/>
        <color theme="8"/>
        <rFont val="Arial"/>
        <family val="2"/>
      </rPr>
      <t>New courses being launched regularly in Thrive</t>
    </r>
  </si>
  <si>
    <t>VOLVO</t>
  </si>
  <si>
    <t>XC90 New Model Training</t>
  </si>
  <si>
    <t>UAE: 10</t>
  </si>
  <si>
    <t>XC90 eLearning Product Training</t>
  </si>
  <si>
    <t>MY26 Launch - EX90 &amp; ES90</t>
  </si>
  <si>
    <t>UAE (TBC)
OMAN (TBC)</t>
  </si>
  <si>
    <t>HONDA UAE: 6, 11, 13
VOLVO UAE: UAE: 7, 12, 14</t>
  </si>
  <si>
    <t>HONDA</t>
  </si>
  <si>
    <t>XC90 New Model Trainingg - Session 1 (9am to 11am)</t>
  </si>
  <si>
    <t xml:space="preserve">Abu Dhabi </t>
  </si>
  <si>
    <t>Nawaf Ashraf Deshmukh</t>
  </si>
  <si>
    <t>DFP</t>
  </si>
  <si>
    <t>Jessica Jane Gualta Agluba</t>
  </si>
  <si>
    <t>Dubai</t>
  </si>
  <si>
    <t>Ivy Sagana Gutierrez</t>
  </si>
  <si>
    <t>Mohamed Thanzeel Ferozuddin</t>
  </si>
  <si>
    <t>Marina Makarova</t>
  </si>
  <si>
    <t>XC90 New Model Training - Session 2 (3pm to 5pm)</t>
  </si>
  <si>
    <t>Shiref Alsaid Ahmed Eldakany</t>
  </si>
  <si>
    <t>ANNUAL LEAVE</t>
  </si>
  <si>
    <t>Do not invite associate on annual leave</t>
  </si>
  <si>
    <t>Mahmoud Mohamed Ali Elsafty</t>
  </si>
  <si>
    <t>Eslam Mohamed Elwany Hassan</t>
  </si>
  <si>
    <t>Mehdi Ghodbane</t>
  </si>
  <si>
    <t>Husam Waked</t>
  </si>
  <si>
    <t>Mohammed Anwar Hassan Moosa Jaffar Ali</t>
  </si>
  <si>
    <t>Fadel Ahmed</t>
  </si>
  <si>
    <t>BRAND</t>
  </si>
  <si>
    <t>Sales Process (Module 3 &amp; 4) - 7 Aug</t>
  </si>
  <si>
    <t>Sales Process (Module 3 &amp; 4) - 12 Aug</t>
  </si>
  <si>
    <r>
      <t xml:space="preserve">HONDA + </t>
    </r>
    <r>
      <rPr>
        <b/>
        <sz val="13"/>
        <color rgb="FF00B0F0"/>
        <rFont val="Arial"/>
        <family val="2"/>
      </rPr>
      <t>VOLVO</t>
    </r>
  </si>
  <si>
    <t>Sales Process (Module 1 &amp; 2) - 8 Sept</t>
  </si>
  <si>
    <t>Customer Communication - 11 Sept</t>
  </si>
  <si>
    <t>Sales Process (Module 3 &amp; 4) - 10 Nov</t>
  </si>
  <si>
    <t>Sales Process (Module 5) - 13 Nov</t>
  </si>
  <si>
    <t>No Trainings in July</t>
  </si>
  <si>
    <t>Didn’t Invite</t>
  </si>
  <si>
    <t>Didn’t attend</t>
  </si>
  <si>
    <t>Didn’t attend (will move BYD?)</t>
  </si>
  <si>
    <t>Resigned</t>
  </si>
  <si>
    <t>Attended 12 Aug</t>
  </si>
  <si>
    <t>Attended 4th July</t>
  </si>
  <si>
    <t>Excused himself, rechedule him</t>
  </si>
  <si>
    <t xml:space="preserve">Attended on 13th </t>
  </si>
  <si>
    <t>OMAN: 14, 16</t>
  </si>
  <si>
    <t>Mariem.Haddouti@alfuttaim.com</t>
  </si>
  <si>
    <t>Volvo</t>
  </si>
  <si>
    <t>Mariem Haddouti</t>
  </si>
  <si>
    <t>Attended on 19th Aug</t>
  </si>
  <si>
    <t>denis.pereira@alfuttaim.com</t>
  </si>
  <si>
    <r>
      <rPr>
        <b/>
        <strike/>
        <sz val="13"/>
        <color rgb="FFFF0000"/>
        <rFont val="Arial"/>
        <family val="2"/>
      </rPr>
      <t>OMAN: 14, 16</t>
    </r>
    <r>
      <rPr>
        <b/>
        <sz val="13"/>
        <color theme="1"/>
        <rFont val="Arial"/>
        <family val="2"/>
      </rPr>
      <t xml:space="preserve">
UAE: 2, 7, 8</t>
    </r>
  </si>
  <si>
    <t>Benz Abraham Geevarghese</t>
  </si>
  <si>
    <t xml:space="preserve">Shamsudeen </t>
  </si>
  <si>
    <t>Record later no ID yet</t>
  </si>
  <si>
    <t>GAC</t>
  </si>
  <si>
    <t>Benz.Geevarghese@alfuttaim.com</t>
  </si>
  <si>
    <t>Salim Souissi</t>
  </si>
  <si>
    <t>Prasanth Vijayankutty Nair Savarmila</t>
  </si>
  <si>
    <t>Ramzi Rhimi</t>
  </si>
  <si>
    <t>PRASANTH.SAVARMILA@ALFUTTAIM.COM</t>
  </si>
  <si>
    <t>Ramzi.Rhimi@alfuttaim.com</t>
  </si>
  <si>
    <t>Salim.Souissi@alfuttaim.com</t>
  </si>
  <si>
    <t>Jibin Kandathil Johny</t>
  </si>
  <si>
    <t>Sales - B2B</t>
  </si>
  <si>
    <t>Sales Process (Module 1 &amp; 2) - 9 Sept</t>
  </si>
  <si>
    <t>done</t>
  </si>
  <si>
    <t>Customer Communication -  10 Sept</t>
  </si>
  <si>
    <t>recorded here</t>
  </si>
  <si>
    <t>Sales Process (Module 3 &amp; 4) - 11 Nov</t>
  </si>
  <si>
    <t>Sales Process (Module 5) - 12 Nov</t>
  </si>
  <si>
    <t>Move him here</t>
  </si>
  <si>
    <t>remove Jibin</t>
  </si>
  <si>
    <t>SE - B2B</t>
  </si>
  <si>
    <t>Naima on leave</t>
  </si>
  <si>
    <t>Sales Process (Module 1 &amp; 2) - 9 Nov</t>
  </si>
  <si>
    <t xml:space="preserve">Bilal </t>
  </si>
  <si>
    <t>Attended 17 Sept</t>
  </si>
  <si>
    <t>Moved to BYD</t>
  </si>
  <si>
    <t xml:space="preserve">Attended 16 Sept </t>
  </si>
  <si>
    <t>Marked attendance in 16</t>
  </si>
  <si>
    <t>Attended 18 Sept</t>
  </si>
  <si>
    <t>Honda Product Guide</t>
  </si>
  <si>
    <r>
      <t>CRV eLearning Product Refresher</t>
    </r>
    <r>
      <rPr>
        <b/>
        <sz val="13"/>
        <color rgb="FF00B050"/>
        <rFont val="Arial"/>
        <family val="2"/>
      </rPr>
      <t xml:space="preserve">
The product guide(SPECIT) takes priority for now</t>
    </r>
  </si>
  <si>
    <t>IMI Sales Accreditation Assessment</t>
  </si>
  <si>
    <t>2hrs each SE</t>
  </si>
  <si>
    <t>Dates TBC</t>
  </si>
  <si>
    <r>
      <t xml:space="preserve">UAE: </t>
    </r>
    <r>
      <rPr>
        <b/>
        <sz val="13"/>
        <color rgb="FF00B050"/>
        <rFont val="Arial"/>
        <family val="2"/>
      </rPr>
      <t>16, 17, 18
100%</t>
    </r>
  </si>
  <si>
    <t>IMI Sales Accreditation – Sales Process Module 3 &amp; 4</t>
  </si>
  <si>
    <t>IMI Sales Accreditation – Sales Process Module 5</t>
  </si>
  <si>
    <t>Advanced Customer Communications</t>
  </si>
  <si>
    <t>IMI Sales Accreditation %</t>
  </si>
  <si>
    <t>IMI Sales Course Completion %</t>
  </si>
  <si>
    <t>Total SE</t>
  </si>
  <si>
    <t>DOMASCO - All</t>
  </si>
  <si>
    <t>OMASCO - All</t>
  </si>
  <si>
    <t>OMASCO - Honda only</t>
  </si>
  <si>
    <t>DOMASCO - Honda only</t>
  </si>
  <si>
    <t xml:space="preserve">IMI Sales Accreditation – Sales Process Module 1 &amp; 2 </t>
  </si>
  <si>
    <t>9 (Target 7 for the first round)</t>
  </si>
  <si>
    <t>OMASCO - Volvo only</t>
  </si>
  <si>
    <t>UAE TE - All</t>
  </si>
  <si>
    <t>UAE TE  - HONDA</t>
  </si>
  <si>
    <t>UAE TE  - Volvo</t>
  </si>
  <si>
    <t>DOMASCO - Volvo</t>
  </si>
  <si>
    <t>DOMASCO - GAC</t>
  </si>
  <si>
    <t>ZRV</t>
  </si>
  <si>
    <t xml:space="preserve">Completed </t>
  </si>
  <si>
    <t>Not completed</t>
  </si>
  <si>
    <t>Bushra Al Adwani</t>
  </si>
  <si>
    <t>Wattayah</t>
  </si>
  <si>
    <t>Junaid Shaikh</t>
  </si>
  <si>
    <t>Used Cars</t>
  </si>
  <si>
    <t>Nadya Al Balushi</t>
  </si>
  <si>
    <t>Nadyia Al Kalbani</t>
  </si>
  <si>
    <t>Dhiyab Al Kadari</t>
  </si>
  <si>
    <r>
      <t xml:space="preserve">Nawaf Ashraf Deshmukh </t>
    </r>
    <r>
      <rPr>
        <sz val="12"/>
        <color rgb="FFFF0000"/>
        <rFont val="Calibri"/>
        <family val="2"/>
        <scheme val="minor"/>
      </rPr>
      <t>On Leave</t>
    </r>
  </si>
  <si>
    <r>
      <t>Farah</t>
    </r>
    <r>
      <rPr>
        <sz val="12"/>
        <color rgb="FFFF0000"/>
        <rFont val="Calibri"/>
        <family val="2"/>
        <scheme val="minor"/>
      </rPr>
      <t xml:space="preserve"> On Leave</t>
    </r>
  </si>
  <si>
    <r>
      <t xml:space="preserve">Mithun </t>
    </r>
    <r>
      <rPr>
        <sz val="12"/>
        <color rgb="FFFF0000"/>
        <rFont val="Calibri"/>
        <family val="2"/>
        <scheme val="minor"/>
      </rPr>
      <t>On Leave</t>
    </r>
  </si>
  <si>
    <t xml:space="preserve">Module 3 &amp; 4 </t>
  </si>
  <si>
    <t>On Leave</t>
  </si>
  <si>
    <t>Moved from 2nd</t>
  </si>
  <si>
    <t>Module 5</t>
  </si>
  <si>
    <t>Module 3 &amp; 4</t>
  </si>
  <si>
    <t> shamsudheen.valappil@alfuttaim.com</t>
  </si>
  <si>
    <t>Only him in the showroom couldn’t attend. Nawaf colleague is on leave</t>
  </si>
  <si>
    <t>Attended on 16Oct</t>
  </si>
  <si>
    <t>Abdelrahman</t>
  </si>
  <si>
    <t>Module 4 
Advanced Customer Communication</t>
  </si>
  <si>
    <t>Module 3
Delivery &amp; Follow-up</t>
  </si>
  <si>
    <t>Module 2
Presentation, Demo, Negotiation &amp; Close</t>
  </si>
  <si>
    <r>
      <rPr>
        <b/>
        <sz val="11"/>
        <color theme="1"/>
        <rFont val="Calibri"/>
        <family val="2"/>
        <scheme val="minor"/>
      </rPr>
      <t xml:space="preserve">Module 1 </t>
    </r>
    <r>
      <rPr>
        <sz val="11"/>
        <color theme="1"/>
        <rFont val="Calibri"/>
        <family val="2"/>
        <scheme val="minor"/>
      </rPr>
      <t xml:space="preserve">
Meet &amp; Greet &amp; Qualification</t>
    </r>
  </si>
  <si>
    <t>Sales Process (Module 3 &amp; 4) - 14 Aug tp 21st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</si>
</sst>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&quot; Days&quot;"/>
    <numFmt numFmtId="166" formatCode="0.0"/>
    <numFmt numFmtId="167" formatCode="[$-809]dd\ mmmm\ yyyy;@"/>
    <numFmt numFmtId="168" formatCode="0\ &quot;Hours&quot;"/>
    <numFmt numFmtId="169" formatCode="0\ &quot;Tech's&quot;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color indexed="10"/>
      <name val="Arial"/>
      <family val="2"/>
    </font>
    <font>
      <b/>
      <sz val="13"/>
      <name val="Arial"/>
      <family val="2"/>
    </font>
    <font>
      <b/>
      <sz val="20"/>
      <color theme="0"/>
      <name val="Arial"/>
      <family val="2"/>
    </font>
    <font>
      <b/>
      <sz val="20"/>
      <color rgb="FFFF0000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Calibri"/>
      <family val="2"/>
    </font>
    <font>
      <sz val="11"/>
      <color theme="1"/>
      <name val="Garamond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0"/>
      <name val="Arial"/>
      <family val="2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rgb="FFFF0000"/>
      <name val="Calibri"/>
      <family val="2"/>
      <scheme val="minor"/>
    </font>
    <font>
      <sz val="10"/>
      <color indexed="8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3"/>
      <color theme="1"/>
      <name val="Arial"/>
      <family val="2"/>
    </font>
    <font>
      <b/>
      <u/>
      <sz val="13"/>
      <color theme="1"/>
      <name val="Arial"/>
      <family val="2"/>
    </font>
    <font>
      <u/>
      <sz val="13"/>
      <color theme="10"/>
      <name val="Calibri"/>
      <family val="2"/>
      <scheme val="minor"/>
    </font>
    <font>
      <b/>
      <sz val="13"/>
      <color rgb="FF000000"/>
      <name val="Arial"/>
      <family val="2"/>
    </font>
    <font>
      <b/>
      <sz val="16"/>
      <name val="Arial"/>
      <family val="2"/>
    </font>
    <font>
      <b/>
      <sz val="14"/>
      <color theme="5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3"/>
      <color rgb="FF00B050"/>
      <name val="Arial"/>
      <family val="2"/>
    </font>
    <font>
      <b/>
      <sz val="11"/>
      <color rgb="FF00B050"/>
      <name val="Arial"/>
      <family val="2"/>
    </font>
    <font>
      <b/>
      <sz val="16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5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8"/>
      <name val="Arial"/>
      <family val="2"/>
    </font>
    <font>
      <sz val="12"/>
      <color theme="1"/>
      <name val="Calibri"/>
      <family val="2"/>
    </font>
    <font>
      <b/>
      <sz val="16"/>
      <color rgb="FF00B0F0"/>
      <name val="Arial"/>
      <family val="2"/>
    </font>
    <font>
      <b/>
      <sz val="13"/>
      <color rgb="FF00B0F0"/>
      <name val="Arial"/>
      <family val="2"/>
    </font>
    <font>
      <sz val="11"/>
      <color rgb="FF0070C0"/>
      <name val="Calibri"/>
      <family val="2"/>
      <scheme val="minor"/>
    </font>
    <font>
      <b/>
      <strike/>
      <sz val="13"/>
      <color rgb="FFFF0000"/>
      <name val="Arial"/>
      <family val="2"/>
    </font>
    <font>
      <strike/>
      <sz val="12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trike/>
      <sz val="12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1"/>
        <bgColor theme="5" tint="-0.24997711111789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000000"/>
      </right>
      <top/>
      <bottom/>
      <diagonal/>
    </border>
  </borders>
  <cellStyleXfs count="256">
    <xf numFmtId="0" fontId="0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2" fillId="0" borderId="0"/>
    <xf numFmtId="0" fontId="2" fillId="0" borderId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65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0" xfId="1" applyFont="1"/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49" fontId="5" fillId="2" borderId="4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Continuous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left" vertical="center"/>
    </xf>
    <xf numFmtId="165" fontId="6" fillId="3" borderId="6" xfId="1" applyNumberFormat="1" applyFont="1" applyFill="1" applyBorder="1" applyAlignment="1">
      <alignment horizontal="center" vertical="center" wrapText="1"/>
    </xf>
    <xf numFmtId="49" fontId="6" fillId="3" borderId="6" xfId="1" applyNumberFormat="1" applyFont="1" applyFill="1" applyBorder="1" applyAlignment="1">
      <alignment horizontal="center" vertical="center"/>
    </xf>
    <xf numFmtId="49" fontId="6" fillId="3" borderId="6" xfId="1" applyNumberFormat="1" applyFont="1" applyFill="1" applyBorder="1" applyAlignment="1">
      <alignment horizontal="right" vertical="center"/>
    </xf>
    <xf numFmtId="166" fontId="6" fillId="3" borderId="6" xfId="1" applyNumberFormat="1" applyFont="1" applyFill="1" applyBorder="1" applyAlignment="1">
      <alignment horizontal="left" vertical="center"/>
    </xf>
    <xf numFmtId="0" fontId="7" fillId="4" borderId="7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165" fontId="4" fillId="0" borderId="0" xfId="1" applyNumberFormat="1" applyFont="1" applyAlignment="1">
      <alignment horizontal="center" wrapText="1"/>
    </xf>
    <xf numFmtId="49" fontId="4" fillId="0" borderId="0" xfId="1" applyNumberFormat="1" applyFont="1"/>
    <xf numFmtId="49" fontId="4" fillId="0" borderId="0" xfId="1" applyNumberFormat="1" applyFont="1" applyAlignment="1">
      <alignment horizontal="center"/>
    </xf>
    <xf numFmtId="0" fontId="0" fillId="0" borderId="9" xfId="0" applyBorder="1"/>
    <xf numFmtId="49" fontId="6" fillId="3" borderId="5" xfId="1" applyNumberFormat="1" applyFont="1" applyFill="1" applyBorder="1" applyAlignment="1">
      <alignment horizontal="right" vertical="center"/>
    </xf>
    <xf numFmtId="168" fontId="4" fillId="0" borderId="0" xfId="1" applyNumberFormat="1" applyFont="1"/>
    <xf numFmtId="169" fontId="4" fillId="0" borderId="0" xfId="1" applyNumberFormat="1" applyFont="1"/>
    <xf numFmtId="169" fontId="19" fillId="4" borderId="0" xfId="1" applyNumberFormat="1" applyFont="1" applyFill="1" applyAlignment="1">
      <alignment horizontal="center" vertical="center" wrapText="1"/>
    </xf>
    <xf numFmtId="168" fontId="19" fillId="4" borderId="0" xfId="1" applyNumberFormat="1" applyFont="1" applyFill="1" applyAlignment="1">
      <alignment horizontal="center" vertical="center" wrapText="1"/>
    </xf>
    <xf numFmtId="49" fontId="5" fillId="2" borderId="12" xfId="1" applyNumberFormat="1" applyFont="1" applyFill="1" applyBorder="1" applyAlignment="1">
      <alignment horizontal="center" vertical="center"/>
    </xf>
    <xf numFmtId="49" fontId="6" fillId="3" borderId="13" xfId="1" applyNumberFormat="1" applyFont="1" applyFill="1" applyBorder="1" applyAlignment="1">
      <alignment horizontal="center" vertical="center"/>
    </xf>
    <xf numFmtId="0" fontId="20" fillId="4" borderId="0" xfId="3" applyFont="1" applyFill="1"/>
    <xf numFmtId="0" fontId="21" fillId="0" borderId="0" xfId="0" applyFont="1"/>
    <xf numFmtId="0" fontId="22" fillId="7" borderId="11" xfId="3" applyFont="1" applyFill="1" applyBorder="1"/>
    <xf numFmtId="0" fontId="22" fillId="7" borderId="11" xfId="3" applyFont="1" applyFill="1" applyBorder="1" applyAlignment="1">
      <alignment horizontal="left" vertical="center"/>
    </xf>
    <xf numFmtId="0" fontId="21" fillId="0" borderId="2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3" fillId="0" borderId="0" xfId="1" applyFont="1" applyAlignment="1">
      <alignment horizontal="left"/>
    </xf>
    <xf numFmtId="0" fontId="21" fillId="0" borderId="0" xfId="0" applyFont="1" applyAlignment="1">
      <alignment horizontal="left" vertical="center"/>
    </xf>
    <xf numFmtId="0" fontId="24" fillId="0" borderId="0" xfId="0" applyFont="1"/>
    <xf numFmtId="0" fontId="21" fillId="0" borderId="0" xfId="0" applyFont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7" borderId="9" xfId="3" applyFont="1" applyFill="1" applyBorder="1"/>
    <xf numFmtId="0" fontId="21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4" borderId="25" xfId="1" applyFont="1" applyFill="1" applyBorder="1" applyAlignment="1">
      <alignment horizontal="center" vertical="center"/>
    </xf>
    <xf numFmtId="165" fontId="7" fillId="4" borderId="25" xfId="1" applyNumberFormat="1" applyFont="1" applyFill="1" applyBorder="1" applyAlignment="1">
      <alignment horizontal="center" vertical="center" wrapText="1"/>
    </xf>
    <xf numFmtId="49" fontId="7" fillId="4" borderId="25" xfId="1" applyNumberFormat="1" applyFont="1" applyFill="1" applyBorder="1" applyAlignment="1">
      <alignment horizontal="center" vertical="center"/>
    </xf>
    <xf numFmtId="49" fontId="7" fillId="4" borderId="26" xfId="1" applyNumberFormat="1" applyFont="1" applyFill="1" applyBorder="1" applyAlignment="1">
      <alignment horizontal="center" vertical="center"/>
    </xf>
    <xf numFmtId="49" fontId="7" fillId="4" borderId="27" xfId="1" applyNumberFormat="1" applyFont="1" applyFill="1" applyBorder="1" applyAlignment="1">
      <alignment horizontal="center" vertical="center"/>
    </xf>
    <xf numFmtId="0" fontId="29" fillId="11" borderId="0" xfId="46" applyFont="1" applyFill="1" applyAlignment="1">
      <alignment horizontal="center"/>
    </xf>
    <xf numFmtId="0" fontId="29" fillId="11" borderId="0" xfId="46" applyFont="1" applyFill="1"/>
    <xf numFmtId="0" fontId="11" fillId="0" borderId="0" xfId="0" applyFont="1"/>
    <xf numFmtId="0" fontId="11" fillId="0" borderId="0" xfId="0" applyFont="1" applyAlignment="1">
      <alignment horizontal="left" vertical="center"/>
    </xf>
    <xf numFmtId="0" fontId="29" fillId="11" borderId="0" xfId="46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1" fillId="12" borderId="0" xfId="0" applyFont="1" applyFill="1" applyAlignment="1">
      <alignment horizontal="center"/>
    </xf>
    <xf numFmtId="0" fontId="22" fillId="7" borderId="11" xfId="3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5" fillId="12" borderId="0" xfId="3" applyFont="1" applyFill="1"/>
    <xf numFmtId="0" fontId="31" fillId="12" borderId="0" xfId="3" applyFont="1" applyFill="1" applyAlignment="1">
      <alignment vertical="center"/>
    </xf>
    <xf numFmtId="0" fontId="32" fillId="0" borderId="0" xfId="0" applyFont="1"/>
    <xf numFmtId="0" fontId="24" fillId="0" borderId="14" xfId="0" applyFont="1" applyBorder="1"/>
    <xf numFmtId="49" fontId="8" fillId="5" borderId="32" xfId="1" applyNumberFormat="1" applyFont="1" applyFill="1" applyBorder="1" applyAlignment="1">
      <alignment horizontal="center" vertical="center" wrapText="1"/>
    </xf>
    <xf numFmtId="49" fontId="8" fillId="5" borderId="33" xfId="1" applyNumberFormat="1" applyFont="1" applyFill="1" applyBorder="1" applyAlignment="1">
      <alignment horizontal="center" vertical="center" wrapText="1"/>
    </xf>
    <xf numFmtId="49" fontId="8" fillId="5" borderId="0" xfId="1" applyNumberFormat="1" applyFont="1" applyFill="1" applyAlignment="1">
      <alignment horizontal="center" vertical="center" wrapText="1"/>
    </xf>
    <xf numFmtId="0" fontId="31" fillId="12" borderId="0" xfId="0" applyFont="1" applyFill="1" applyAlignment="1">
      <alignment horizontal="center" vertical="center" wrapText="1"/>
    </xf>
    <xf numFmtId="0" fontId="31" fillId="10" borderId="0" xfId="0" applyFont="1" applyFill="1" applyAlignment="1">
      <alignment horizontal="center" vertical="center" wrapText="1"/>
    </xf>
    <xf numFmtId="0" fontId="31" fillId="0" borderId="0" xfId="0" applyFont="1"/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7" fillId="4" borderId="34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0" fontId="21" fillId="0" borderId="9" xfId="0" applyFont="1" applyBorder="1" applyAlignment="1">
      <alignment horizontal="center"/>
    </xf>
    <xf numFmtId="0" fontId="31" fillId="9" borderId="0" xfId="0" applyFont="1" applyFill="1" applyAlignment="1">
      <alignment horizontal="center" vertical="center"/>
    </xf>
    <xf numFmtId="0" fontId="21" fillId="0" borderId="9" xfId="0" applyFont="1" applyBorder="1"/>
    <xf numFmtId="0" fontId="31" fillId="9" borderId="0" xfId="0" applyFont="1" applyFill="1"/>
    <xf numFmtId="0" fontId="22" fillId="4" borderId="0" xfId="3" applyFont="1" applyFill="1"/>
    <xf numFmtId="0" fontId="21" fillId="12" borderId="0" xfId="0" applyFont="1" applyFill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31" fillId="10" borderId="14" xfId="0" applyFont="1" applyFill="1" applyBorder="1" applyAlignment="1">
      <alignment horizontal="center" vertical="center" wrapText="1"/>
    </xf>
    <xf numFmtId="0" fontId="1" fillId="0" borderId="0" xfId="0" applyFont="1"/>
    <xf numFmtId="0" fontId="31" fillId="8" borderId="14" xfId="0" applyFont="1" applyFill="1" applyBorder="1" applyAlignment="1">
      <alignment wrapText="1"/>
    </xf>
    <xf numFmtId="0" fontId="35" fillId="12" borderId="0" xfId="0" applyFont="1" applyFill="1"/>
    <xf numFmtId="0" fontId="34" fillId="12" borderId="0" xfId="46" applyFont="1" applyFill="1" applyAlignment="1">
      <alignment horizontal="left"/>
    </xf>
    <xf numFmtId="0" fontId="31" fillId="12" borderId="0" xfId="0" applyFont="1" applyFill="1" applyAlignment="1">
      <alignment horizontal="center" vertical="center"/>
    </xf>
    <xf numFmtId="0" fontId="31" fillId="12" borderId="0" xfId="0" applyFont="1" applyFill="1"/>
    <xf numFmtId="0" fontId="31" fillId="12" borderId="0" xfId="0" applyFont="1" applyFill="1" applyAlignment="1">
      <alignment horizontal="center"/>
    </xf>
    <xf numFmtId="0" fontId="33" fillId="11" borderId="0" xfId="46" applyFont="1" applyFill="1"/>
    <xf numFmtId="0" fontId="31" fillId="0" borderId="14" xfId="0" applyFont="1" applyBorder="1"/>
    <xf numFmtId="0" fontId="30" fillId="0" borderId="9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left" vertical="center" wrapText="1"/>
    </xf>
    <xf numFmtId="0" fontId="31" fillId="12" borderId="9" xfId="0" applyFont="1" applyFill="1" applyBorder="1"/>
    <xf numFmtId="0" fontId="31" fillId="9" borderId="14" xfId="0" applyFont="1" applyFill="1" applyBorder="1"/>
    <xf numFmtId="0" fontId="21" fillId="0" borderId="14" xfId="0" applyFont="1" applyBorder="1"/>
    <xf numFmtId="0" fontId="23" fillId="0" borderId="14" xfId="1" applyFont="1" applyBorder="1" applyAlignment="1">
      <alignment horizontal="left"/>
    </xf>
    <xf numFmtId="0" fontId="23" fillId="0" borderId="14" xfId="1" applyFont="1" applyBorder="1" applyAlignment="1">
      <alignment horizontal="center" vertical="center"/>
    </xf>
    <xf numFmtId="0" fontId="34" fillId="11" borderId="14" xfId="46" applyFont="1" applyFill="1" applyBorder="1"/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34" fillId="11" borderId="14" xfId="46" applyFont="1" applyFill="1" applyBorder="1" applyAlignment="1">
      <alignment horizontal="left"/>
    </xf>
    <xf numFmtId="0" fontId="4" fillId="6" borderId="10" xfId="1" applyFont="1" applyFill="1" applyBorder="1" applyAlignment="1">
      <alignment horizontal="left" vertical="center" wrapText="1"/>
    </xf>
    <xf numFmtId="0" fontId="36" fillId="6" borderId="9" xfId="0" applyFont="1" applyFill="1" applyBorder="1" applyAlignment="1">
      <alignment horizontal="left" vertical="center" wrapText="1"/>
    </xf>
    <xf numFmtId="0" fontId="39" fillId="6" borderId="9" xfId="0" applyFont="1" applyFill="1" applyBorder="1" applyAlignment="1">
      <alignment horizontal="left" vertical="center" wrapText="1"/>
    </xf>
    <xf numFmtId="0" fontId="4" fillId="6" borderId="14" xfId="1" applyFont="1" applyFill="1" applyBorder="1" applyAlignment="1">
      <alignment vertical="center" wrapText="1"/>
    </xf>
    <xf numFmtId="0" fontId="21" fillId="0" borderId="9" xfId="0" applyFont="1" applyBorder="1" applyAlignment="1">
      <alignment horizontal="left" vertical="center"/>
    </xf>
    <xf numFmtId="0" fontId="36" fillId="6" borderId="9" xfId="1" applyFont="1" applyFill="1" applyBorder="1" applyAlignment="1">
      <alignment horizontal="left" vertical="center" wrapText="1"/>
    </xf>
    <xf numFmtId="0" fontId="36" fillId="6" borderId="11" xfId="1" applyFont="1" applyFill="1" applyBorder="1" applyAlignment="1">
      <alignment horizontal="left" vertical="center" wrapText="1"/>
    </xf>
    <xf numFmtId="49" fontId="8" fillId="5" borderId="34" xfId="1" applyNumberFormat="1" applyFon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left" vertical="center" wrapText="1"/>
    </xf>
    <xf numFmtId="0" fontId="22" fillId="7" borderId="11" xfId="3" applyFont="1" applyFill="1" applyBorder="1" applyAlignment="1">
      <alignment horizontal="left"/>
    </xf>
    <xf numFmtId="0" fontId="21" fillId="12" borderId="0" xfId="0" applyFont="1" applyFill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36" fillId="12" borderId="9" xfId="1" applyFont="1" applyFill="1" applyBorder="1" applyAlignment="1">
      <alignment horizontal="center" vertical="center"/>
    </xf>
    <xf numFmtId="0" fontId="39" fillId="12" borderId="22" xfId="0" applyFont="1" applyFill="1" applyBorder="1" applyAlignment="1">
      <alignment horizontal="center" vertical="center" wrapText="1"/>
    </xf>
    <xf numFmtId="165" fontId="4" fillId="12" borderId="18" xfId="1" applyNumberFormat="1" applyFont="1" applyFill="1" applyBorder="1" applyAlignment="1">
      <alignment horizontal="center" vertical="center" wrapText="1"/>
    </xf>
    <xf numFmtId="0" fontId="4" fillId="12" borderId="18" xfId="1" applyFont="1" applyFill="1" applyBorder="1" applyAlignment="1">
      <alignment horizontal="center" vertical="center"/>
    </xf>
    <xf numFmtId="49" fontId="37" fillId="12" borderId="28" xfId="254" applyNumberFormat="1" applyFont="1" applyFill="1" applyBorder="1" applyAlignment="1">
      <alignment horizontal="center" vertical="center" wrapText="1"/>
    </xf>
    <xf numFmtId="49" fontId="4" fillId="12" borderId="23" xfId="1" applyNumberFormat="1" applyFont="1" applyFill="1" applyBorder="1" applyAlignment="1">
      <alignment horizontal="center" vertical="center" wrapText="1"/>
    </xf>
    <xf numFmtId="49" fontId="4" fillId="12" borderId="18" xfId="1" applyNumberFormat="1" applyFont="1" applyFill="1" applyBorder="1" applyAlignment="1">
      <alignment horizontal="center" vertical="center" wrapText="1"/>
    </xf>
    <xf numFmtId="49" fontId="4" fillId="12" borderId="28" xfId="1" applyNumberFormat="1" applyFont="1" applyFill="1" applyBorder="1" applyAlignment="1">
      <alignment horizontal="center" vertical="center" wrapText="1"/>
    </xf>
    <xf numFmtId="49" fontId="38" fillId="12" borderId="18" xfId="254" applyNumberFormat="1" applyFont="1" applyFill="1" applyBorder="1" applyAlignment="1">
      <alignment horizontal="center" vertical="center" wrapText="1"/>
    </xf>
    <xf numFmtId="0" fontId="36" fillId="12" borderId="22" xfId="0" applyFont="1" applyFill="1" applyBorder="1" applyAlignment="1">
      <alignment horizontal="center" vertical="center" wrapText="1"/>
    </xf>
    <xf numFmtId="0" fontId="4" fillId="12" borderId="24" xfId="1" applyFont="1" applyFill="1" applyBorder="1" applyAlignment="1">
      <alignment horizontal="center" vertical="center"/>
    </xf>
    <xf numFmtId="49" fontId="4" fillId="12" borderId="14" xfId="1" applyNumberFormat="1" applyFont="1" applyFill="1" applyBorder="1" applyAlignment="1">
      <alignment horizontal="center" vertical="center" wrapText="1"/>
    </xf>
    <xf numFmtId="0" fontId="36" fillId="12" borderId="14" xfId="1" applyFont="1" applyFill="1" applyBorder="1" applyAlignment="1">
      <alignment horizontal="center" vertical="center"/>
    </xf>
    <xf numFmtId="49" fontId="36" fillId="12" borderId="14" xfId="1" applyNumberFormat="1" applyFont="1" applyFill="1" applyBorder="1" applyAlignment="1">
      <alignment horizontal="center" vertical="center"/>
    </xf>
    <xf numFmtId="0" fontId="36" fillId="12" borderId="14" xfId="0" applyFont="1" applyFill="1" applyBorder="1" applyAlignment="1">
      <alignment horizontal="center" vertical="center" wrapText="1"/>
    </xf>
    <xf numFmtId="165" fontId="4" fillId="12" borderId="14" xfId="1" applyNumberFormat="1" applyFont="1" applyFill="1" applyBorder="1" applyAlignment="1">
      <alignment horizontal="center" vertical="center" wrapText="1"/>
    </xf>
    <xf numFmtId="0" fontId="4" fillId="12" borderId="14" xfId="1" applyFont="1" applyFill="1" applyBorder="1" applyAlignment="1">
      <alignment horizontal="center" vertical="center"/>
    </xf>
    <xf numFmtId="49" fontId="37" fillId="12" borderId="14" xfId="254" applyNumberFormat="1" applyFont="1" applyFill="1" applyBorder="1" applyAlignment="1">
      <alignment horizontal="center" vertical="center" wrapText="1"/>
    </xf>
    <xf numFmtId="49" fontId="38" fillId="12" borderId="14" xfId="254" applyNumberFormat="1" applyFont="1" applyFill="1" applyBorder="1" applyAlignment="1">
      <alignment horizontal="center" vertical="center" wrapText="1"/>
    </xf>
    <xf numFmtId="0" fontId="39" fillId="12" borderId="21" xfId="0" applyFont="1" applyFill="1" applyBorder="1" applyAlignment="1">
      <alignment horizontal="center" vertical="center" wrapText="1"/>
    </xf>
    <xf numFmtId="0" fontId="4" fillId="12" borderId="28" xfId="1" applyFont="1" applyFill="1" applyBorder="1" applyAlignment="1">
      <alignment horizontal="center" vertical="center" wrapText="1"/>
    </xf>
    <xf numFmtId="0" fontId="36" fillId="12" borderId="21" xfId="1" applyFont="1" applyFill="1" applyBorder="1" applyAlignment="1">
      <alignment horizontal="center" vertical="center"/>
    </xf>
    <xf numFmtId="49" fontId="40" fillId="12" borderId="21" xfId="1" applyNumberFormat="1" applyFont="1" applyFill="1" applyBorder="1" applyAlignment="1">
      <alignment horizontal="center" vertical="center" wrapText="1"/>
    </xf>
    <xf numFmtId="49" fontId="40" fillId="12" borderId="30" xfId="1" applyNumberFormat="1" applyFont="1" applyFill="1" applyBorder="1" applyAlignment="1">
      <alignment horizontal="center" vertical="center" wrapText="1"/>
    </xf>
    <xf numFmtId="49" fontId="40" fillId="12" borderId="15" xfId="1" applyNumberFormat="1" applyFont="1" applyFill="1" applyBorder="1" applyAlignment="1">
      <alignment horizontal="center" vertical="center" wrapText="1"/>
    </xf>
    <xf numFmtId="49" fontId="7" fillId="4" borderId="25" xfId="1" applyNumberFormat="1" applyFont="1" applyFill="1" applyBorder="1" applyAlignment="1">
      <alignment horizontal="center" vertical="center" wrapText="1"/>
    </xf>
    <xf numFmtId="0" fontId="4" fillId="6" borderId="11" xfId="1" applyFont="1" applyFill="1" applyBorder="1" applyAlignment="1">
      <alignment vertical="center" wrapText="1"/>
    </xf>
    <xf numFmtId="0" fontId="36" fillId="6" borderId="0" xfId="1" applyFont="1" applyFill="1" applyAlignment="1">
      <alignment vertical="center" wrapText="1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/>
    <xf numFmtId="0" fontId="42" fillId="0" borderId="9" xfId="0" applyFont="1" applyBorder="1" applyAlignment="1">
      <alignment horizontal="left"/>
    </xf>
    <xf numFmtId="0" fontId="0" fillId="14" borderId="9" xfId="0" applyFill="1" applyBorder="1" applyAlignment="1">
      <alignment horizontal="left" vertical="top"/>
    </xf>
    <xf numFmtId="0" fontId="16" fillId="13" borderId="9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left"/>
    </xf>
    <xf numFmtId="0" fontId="26" fillId="0" borderId="9" xfId="0" applyFont="1" applyBorder="1" applyAlignment="1">
      <alignment horizontal="left"/>
    </xf>
    <xf numFmtId="0" fontId="44" fillId="0" borderId="9" xfId="0" applyFont="1" applyBorder="1" applyAlignment="1">
      <alignment horizontal="left"/>
    </xf>
    <xf numFmtId="0" fontId="45" fillId="0" borderId="9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42" fillId="0" borderId="9" xfId="0" applyFont="1" applyBorder="1" applyAlignment="1">
      <alignment horizontal="left" wrapText="1"/>
    </xf>
    <xf numFmtId="0" fontId="45" fillId="0" borderId="9" xfId="0" applyFont="1" applyBorder="1" applyAlignment="1">
      <alignment horizontal="left"/>
    </xf>
    <xf numFmtId="0" fontId="21" fillId="0" borderId="9" xfId="0" applyFont="1" applyBorder="1" applyAlignment="1">
      <alignment vertical="center"/>
    </xf>
    <xf numFmtId="0" fontId="42" fillId="0" borderId="9" xfId="0" applyFont="1" applyBorder="1" applyAlignment="1">
      <alignment wrapText="1"/>
    </xf>
    <xf numFmtId="0" fontId="42" fillId="0" borderId="9" xfId="0" applyFont="1" applyBorder="1" applyAlignment="1">
      <alignment horizontal="center"/>
    </xf>
    <xf numFmtId="0" fontId="16" fillId="13" borderId="11" xfId="0" applyFont="1" applyFill="1" applyBorder="1" applyAlignment="1">
      <alignment horizontal="center" vertical="center"/>
    </xf>
    <xf numFmtId="0" fontId="42" fillId="14" borderId="9" xfId="0" applyFont="1" applyFill="1" applyBorder="1" applyAlignment="1">
      <alignment horizontal="left" vertical="top"/>
    </xf>
    <xf numFmtId="0" fontId="17" fillId="0" borderId="9" xfId="254" applyBorder="1"/>
    <xf numFmtId="0" fontId="36" fillId="6" borderId="21" xfId="1" applyFont="1" applyFill="1" applyBorder="1" applyAlignment="1">
      <alignment vertical="center" wrapText="1"/>
    </xf>
    <xf numFmtId="165" fontId="4" fillId="12" borderId="17" xfId="1" applyNumberFormat="1" applyFont="1" applyFill="1" applyBorder="1" applyAlignment="1">
      <alignment horizontal="center" vertical="center" wrapText="1"/>
    </xf>
    <xf numFmtId="0" fontId="4" fillId="12" borderId="17" xfId="1" applyFont="1" applyFill="1" applyBorder="1" applyAlignment="1">
      <alignment horizontal="center" vertical="center"/>
    </xf>
    <xf numFmtId="49" fontId="37" fillId="12" borderId="17" xfId="254" applyNumberFormat="1" applyFont="1" applyFill="1" applyBorder="1" applyAlignment="1">
      <alignment horizontal="center" vertical="center" wrapText="1"/>
    </xf>
    <xf numFmtId="49" fontId="4" fillId="12" borderId="17" xfId="1" applyNumberFormat="1" applyFont="1" applyFill="1" applyBorder="1" applyAlignment="1">
      <alignment horizontal="center" vertical="center" wrapText="1"/>
    </xf>
    <xf numFmtId="49" fontId="40" fillId="12" borderId="17" xfId="1" applyNumberFormat="1" applyFont="1" applyFill="1" applyBorder="1" applyAlignment="1">
      <alignment horizontal="center" vertical="center" wrapText="1"/>
    </xf>
    <xf numFmtId="49" fontId="38" fillId="12" borderId="17" xfId="254" applyNumberFormat="1" applyFont="1" applyFill="1" applyBorder="1" applyAlignment="1">
      <alignment horizontal="center" vertical="center" wrapText="1"/>
    </xf>
    <xf numFmtId="49" fontId="37" fillId="12" borderId="18" xfId="254" applyNumberFormat="1" applyFont="1" applyFill="1" applyBorder="1" applyAlignment="1">
      <alignment horizontal="center" vertical="center" wrapText="1"/>
    </xf>
    <xf numFmtId="49" fontId="40" fillId="12" borderId="18" xfId="1" applyNumberFormat="1" applyFont="1" applyFill="1" applyBorder="1" applyAlignment="1">
      <alignment horizontal="center" vertical="center" wrapText="1"/>
    </xf>
    <xf numFmtId="165" fontId="4" fillId="12" borderId="30" xfId="1" applyNumberFormat="1" applyFont="1" applyFill="1" applyBorder="1" applyAlignment="1">
      <alignment horizontal="center" vertical="center" wrapText="1"/>
    </xf>
    <xf numFmtId="0" fontId="4" fillId="12" borderId="30" xfId="1" applyFont="1" applyFill="1" applyBorder="1" applyAlignment="1">
      <alignment horizontal="center" vertical="center"/>
    </xf>
    <xf numFmtId="49" fontId="37" fillId="12" borderId="30" xfId="254" applyNumberFormat="1" applyFont="1" applyFill="1" applyBorder="1" applyAlignment="1">
      <alignment horizontal="center" vertical="center" wrapText="1"/>
    </xf>
    <xf numFmtId="0" fontId="4" fillId="6" borderId="0" xfId="1" applyFont="1" applyFill="1" applyAlignment="1">
      <alignment vertical="center" wrapText="1"/>
    </xf>
    <xf numFmtId="0" fontId="4" fillId="6" borderId="9" xfId="1" applyFont="1" applyFill="1" applyBorder="1" applyAlignment="1">
      <alignment vertical="center" wrapText="1"/>
    </xf>
    <xf numFmtId="0" fontId="21" fillId="0" borderId="14" xfId="0" applyFont="1" applyBorder="1" applyAlignment="1">
      <alignment vertical="center"/>
    </xf>
    <xf numFmtId="49" fontId="36" fillId="12" borderId="22" xfId="1" applyNumberFormat="1" applyFont="1" applyFill="1" applyBorder="1" applyAlignment="1">
      <alignment horizontal="center" vertical="center"/>
    </xf>
    <xf numFmtId="49" fontId="36" fillId="12" borderId="31" xfId="1" applyNumberFormat="1" applyFont="1" applyFill="1" applyBorder="1" applyAlignment="1">
      <alignment horizontal="center" vertical="center"/>
    </xf>
    <xf numFmtId="49" fontId="36" fillId="12" borderId="16" xfId="1" applyNumberFormat="1" applyFont="1" applyFill="1" applyBorder="1" applyAlignment="1">
      <alignment horizontal="center" vertical="center"/>
    </xf>
    <xf numFmtId="49" fontId="36" fillId="12" borderId="14" xfId="1" applyNumberFormat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49" fontId="46" fillId="12" borderId="28" xfId="1" applyNumberFormat="1" applyFont="1" applyFill="1" applyBorder="1" applyAlignment="1">
      <alignment horizontal="center" vertical="center" wrapText="1"/>
    </xf>
    <xf numFmtId="49" fontId="36" fillId="12" borderId="18" xfId="1" applyNumberFormat="1" applyFont="1" applyFill="1" applyBorder="1" applyAlignment="1">
      <alignment horizontal="center" vertical="center"/>
    </xf>
    <xf numFmtId="49" fontId="4" fillId="12" borderId="9" xfId="1" applyNumberFormat="1" applyFont="1" applyFill="1" applyBorder="1" applyAlignment="1">
      <alignment horizontal="center" vertical="center" wrapText="1"/>
    </xf>
    <xf numFmtId="0" fontId="36" fillId="12" borderId="0" xfId="1" applyFont="1" applyFill="1" applyAlignment="1">
      <alignment horizontal="center" vertical="center"/>
    </xf>
    <xf numFmtId="49" fontId="36" fillId="12" borderId="18" xfId="1" applyNumberFormat="1" applyFont="1" applyFill="1" applyBorder="1" applyAlignment="1">
      <alignment horizontal="center" vertical="center" wrapText="1"/>
    </xf>
    <xf numFmtId="49" fontId="36" fillId="15" borderId="14" xfId="1" applyNumberFormat="1" applyFont="1" applyFill="1" applyBorder="1" applyAlignment="1">
      <alignment horizontal="center" vertical="center"/>
    </xf>
    <xf numFmtId="49" fontId="4" fillId="15" borderId="14" xfId="1" applyNumberFormat="1" applyFont="1" applyFill="1" applyBorder="1" applyAlignment="1">
      <alignment horizontal="center" vertical="center" wrapText="1"/>
    </xf>
    <xf numFmtId="0" fontId="4" fillId="15" borderId="18" xfId="1" applyFont="1" applyFill="1" applyBorder="1" applyAlignment="1">
      <alignment horizontal="center" vertical="center"/>
    </xf>
    <xf numFmtId="49" fontId="48" fillId="12" borderId="17" xfId="1" applyNumberFormat="1" applyFont="1" applyFill="1" applyBorder="1" applyAlignment="1">
      <alignment horizontal="center" vertical="center" wrapText="1"/>
    </xf>
    <xf numFmtId="0" fontId="34" fillId="11" borderId="0" xfId="46" applyFont="1" applyFill="1" applyAlignment="1">
      <alignment horizontal="left"/>
    </xf>
    <xf numFmtId="49" fontId="4" fillId="15" borderId="18" xfId="1" applyNumberFormat="1" applyFont="1" applyFill="1" applyBorder="1" applyAlignment="1">
      <alignment horizontal="center" vertical="center" wrapText="1"/>
    </xf>
    <xf numFmtId="49" fontId="46" fillId="15" borderId="23" xfId="1" applyNumberFormat="1" applyFont="1" applyFill="1" applyBorder="1" applyAlignment="1">
      <alignment horizontal="center" vertical="center" wrapText="1"/>
    </xf>
    <xf numFmtId="49" fontId="36" fillId="12" borderId="19" xfId="1" applyNumberFormat="1" applyFont="1" applyFill="1" applyBorder="1" applyAlignment="1">
      <alignment horizontal="center" vertical="center"/>
    </xf>
    <xf numFmtId="49" fontId="36" fillId="12" borderId="20" xfId="1" applyNumberFormat="1" applyFont="1" applyFill="1" applyBorder="1" applyAlignment="1">
      <alignment horizontal="center" vertical="center"/>
    </xf>
    <xf numFmtId="49" fontId="36" fillId="12" borderId="17" xfId="1" applyNumberFormat="1" applyFont="1" applyFill="1" applyBorder="1" applyAlignment="1">
      <alignment horizontal="center" vertical="center"/>
    </xf>
    <xf numFmtId="0" fontId="44" fillId="0" borderId="9" xfId="0" applyFont="1" applyBorder="1"/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/>
    </xf>
    <xf numFmtId="0" fontId="0" fillId="0" borderId="11" xfId="0" applyBorder="1"/>
    <xf numFmtId="0" fontId="22" fillId="7" borderId="9" xfId="3" applyFont="1" applyFill="1" applyBorder="1" applyAlignment="1">
      <alignment horizontal="left" vertical="center"/>
    </xf>
    <xf numFmtId="0" fontId="31" fillId="8" borderId="0" xfId="0" applyFont="1" applyFill="1" applyAlignment="1">
      <alignment wrapText="1"/>
    </xf>
    <xf numFmtId="0" fontId="52" fillId="0" borderId="13" xfId="0" applyFont="1" applyBorder="1"/>
    <xf numFmtId="0" fontId="17" fillId="0" borderId="13" xfId="254" applyBorder="1"/>
    <xf numFmtId="0" fontId="52" fillId="0" borderId="35" xfId="0" applyFont="1" applyBorder="1" applyAlignment="1">
      <alignment wrapText="1"/>
    </xf>
    <xf numFmtId="0" fontId="52" fillId="0" borderId="13" xfId="0" applyFont="1" applyBorder="1" applyAlignment="1">
      <alignment wrapText="1"/>
    </xf>
    <xf numFmtId="0" fontId="31" fillId="9" borderId="14" xfId="0" applyFont="1" applyFill="1" applyBorder="1" applyAlignment="1">
      <alignment horizontal="center"/>
    </xf>
    <xf numFmtId="0" fontId="34" fillId="11" borderId="14" xfId="46" applyFont="1" applyFill="1" applyBorder="1" applyAlignment="1">
      <alignment horizontal="center"/>
    </xf>
    <xf numFmtId="0" fontId="21" fillId="0" borderId="14" xfId="0" applyFont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/>
    </xf>
    <xf numFmtId="0" fontId="20" fillId="4" borderId="0" xfId="3" applyFont="1" applyFill="1" applyAlignment="1">
      <alignment horizontal="center"/>
    </xf>
    <xf numFmtId="0" fontId="53" fillId="0" borderId="35" xfId="0" applyFont="1" applyBorder="1" applyAlignment="1">
      <alignment vertical="center"/>
    </xf>
    <xf numFmtId="0" fontId="53" fillId="0" borderId="13" xfId="0" applyFont="1" applyBorder="1" applyAlignment="1">
      <alignment vertical="center"/>
    </xf>
    <xf numFmtId="0" fontId="17" fillId="0" borderId="13" xfId="254" applyBorder="1" applyAlignment="1">
      <alignment vertical="center"/>
    </xf>
    <xf numFmtId="0" fontId="36" fillId="6" borderId="1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4" fillId="11" borderId="0" xfId="46" applyFont="1" applyFill="1" applyAlignment="1">
      <alignment horizontal="center"/>
    </xf>
    <xf numFmtId="0" fontId="32" fillId="0" borderId="0" xfId="0" applyFont="1" applyAlignment="1">
      <alignment horizontal="center"/>
    </xf>
    <xf numFmtId="0" fontId="36" fillId="6" borderId="11" xfId="1" applyFont="1" applyFill="1" applyBorder="1" applyAlignment="1">
      <alignment vertical="center" wrapText="1"/>
    </xf>
    <xf numFmtId="0" fontId="31" fillId="12" borderId="9" xfId="0" applyFont="1" applyFill="1" applyBorder="1" applyAlignment="1">
      <alignment horizontal="left"/>
    </xf>
    <xf numFmtId="0" fontId="21" fillId="0" borderId="20" xfId="0" applyFont="1" applyBorder="1" applyAlignment="1">
      <alignment horizontal="left" vertical="center"/>
    </xf>
    <xf numFmtId="0" fontId="17" fillId="0" borderId="19" xfId="254" applyBorder="1" applyAlignment="1">
      <alignment horizontal="left"/>
    </xf>
    <xf numFmtId="0" fontId="0" fillId="0" borderId="3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7" fillId="0" borderId="19" xfId="254" applyBorder="1" applyAlignment="1">
      <alignment horizontal="center"/>
    </xf>
    <xf numFmtId="0" fontId="30" fillId="0" borderId="9" xfId="0" applyFont="1" applyBorder="1" applyAlignment="1">
      <alignment horizontal="left" vertical="top" wrapText="1"/>
    </xf>
    <xf numFmtId="0" fontId="28" fillId="0" borderId="14" xfId="0" applyFont="1" applyBorder="1" applyAlignment="1">
      <alignment vertical="center"/>
    </xf>
    <xf numFmtId="0" fontId="28" fillId="0" borderId="9" xfId="0" applyFont="1" applyBorder="1" applyAlignment="1">
      <alignment horizontal="center" vertical="center" wrapText="1"/>
    </xf>
    <xf numFmtId="0" fontId="28" fillId="12" borderId="9" xfId="0" applyFont="1" applyFill="1" applyBorder="1"/>
    <xf numFmtId="0" fontId="21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12" borderId="9" xfId="0" applyFont="1" applyFill="1" applyBorder="1"/>
    <xf numFmtId="49" fontId="48" fillId="12" borderId="18" xfId="1" applyNumberFormat="1" applyFont="1" applyFill="1" applyBorder="1" applyAlignment="1">
      <alignment horizontal="center" vertical="center" wrapText="1"/>
    </xf>
    <xf numFmtId="0" fontId="4" fillId="12" borderId="38" xfId="1" applyFont="1" applyFill="1" applyBorder="1" applyAlignment="1">
      <alignment horizontal="center" vertical="center"/>
    </xf>
    <xf numFmtId="49" fontId="36" fillId="12" borderId="9" xfId="1" applyNumberFormat="1" applyFont="1" applyFill="1" applyBorder="1" applyAlignment="1">
      <alignment horizontal="center" vertical="center"/>
    </xf>
    <xf numFmtId="165" fontId="4" fillId="12" borderId="9" xfId="1" applyNumberFormat="1" applyFont="1" applyFill="1" applyBorder="1" applyAlignment="1">
      <alignment horizontal="center" vertical="center" wrapText="1"/>
    </xf>
    <xf numFmtId="0" fontId="4" fillId="12" borderId="9" xfId="1" applyFont="1" applyFill="1" applyBorder="1" applyAlignment="1">
      <alignment horizontal="center" vertical="center"/>
    </xf>
    <xf numFmtId="49" fontId="37" fillId="12" borderId="9" xfId="254" applyNumberFormat="1" applyFont="1" applyFill="1" applyBorder="1" applyAlignment="1">
      <alignment horizontal="center" vertical="center" wrapText="1"/>
    </xf>
    <xf numFmtId="49" fontId="40" fillId="12" borderId="9" xfId="1" applyNumberFormat="1" applyFont="1" applyFill="1" applyBorder="1" applyAlignment="1">
      <alignment horizontal="center" vertical="center" wrapText="1"/>
    </xf>
    <xf numFmtId="49" fontId="38" fillId="12" borderId="9" xfId="254" applyNumberFormat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0" fontId="36" fillId="12" borderId="19" xfId="1" applyFont="1" applyFill="1" applyBorder="1" applyAlignment="1">
      <alignment horizontal="center" vertical="center"/>
    </xf>
    <xf numFmtId="0" fontId="55" fillId="0" borderId="39" xfId="0" applyFont="1" applyBorder="1" applyAlignment="1">
      <alignment horizontal="center" vertical="center" wrapText="1"/>
    </xf>
    <xf numFmtId="0" fontId="55" fillId="0" borderId="40" xfId="0" applyFont="1" applyBorder="1" applyAlignment="1">
      <alignment vertical="center" wrapText="1"/>
    </xf>
    <xf numFmtId="0" fontId="24" fillId="8" borderId="40" xfId="0" applyFont="1" applyFill="1" applyBorder="1" applyAlignment="1">
      <alignment vertical="center"/>
    </xf>
    <xf numFmtId="0" fontId="24" fillId="8" borderId="13" xfId="0" applyFont="1" applyFill="1" applyBorder="1" applyAlignment="1">
      <alignment vertical="center"/>
    </xf>
    <xf numFmtId="0" fontId="24" fillId="0" borderId="41" xfId="0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 wrapText="1"/>
    </xf>
    <xf numFmtId="0" fontId="55" fillId="0" borderId="13" xfId="0" applyFont="1" applyBorder="1" applyAlignment="1">
      <alignment vertical="center" wrapText="1"/>
    </xf>
    <xf numFmtId="0" fontId="24" fillId="0" borderId="42" xfId="0" applyFont="1" applyBorder="1" applyAlignment="1">
      <alignment horizontal="center" vertical="center"/>
    </xf>
    <xf numFmtId="0" fontId="24" fillId="8" borderId="42" xfId="0" applyFont="1" applyFill="1" applyBorder="1" applyAlignment="1">
      <alignment vertical="center"/>
    </xf>
    <xf numFmtId="0" fontId="24" fillId="8" borderId="42" xfId="0" applyFont="1" applyFill="1" applyBorder="1" applyAlignment="1">
      <alignment vertical="center" wrapText="1"/>
    </xf>
    <xf numFmtId="0" fontId="28" fillId="11" borderId="14" xfId="46" applyFont="1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vertical="center"/>
    </xf>
    <xf numFmtId="0" fontId="24" fillId="8" borderId="42" xfId="0" applyFont="1" applyFill="1" applyBorder="1" applyAlignment="1">
      <alignment horizontal="center" vertical="center" wrapText="1"/>
    </xf>
    <xf numFmtId="0" fontId="24" fillId="0" borderId="42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21" fillId="11" borderId="14" xfId="46" applyFont="1" applyFill="1" applyBorder="1" applyAlignment="1">
      <alignment horizontal="left"/>
    </xf>
    <xf numFmtId="49" fontId="56" fillId="12" borderId="9" xfId="1" applyNumberFormat="1" applyFont="1" applyFill="1" applyBorder="1" applyAlignment="1">
      <alignment horizontal="center" vertical="center" wrapText="1"/>
    </xf>
    <xf numFmtId="0" fontId="34" fillId="11" borderId="19" xfId="46" applyFont="1" applyFill="1" applyBorder="1" applyAlignment="1">
      <alignment horizontal="left"/>
    </xf>
    <xf numFmtId="0" fontId="21" fillId="0" borderId="17" xfId="0" applyFont="1" applyBorder="1" applyAlignment="1">
      <alignment vertical="center"/>
    </xf>
    <xf numFmtId="0" fontId="26" fillId="0" borderId="9" xfId="0" applyFont="1" applyBorder="1" applyAlignment="1">
      <alignment horizontal="left" vertical="center"/>
    </xf>
    <xf numFmtId="0" fontId="58" fillId="0" borderId="0" xfId="0" applyFont="1"/>
    <xf numFmtId="0" fontId="21" fillId="0" borderId="19" xfId="0" applyFont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6" fillId="0" borderId="9" xfId="0" applyFont="1" applyBorder="1" applyAlignment="1">
      <alignment horizontal="center" vertical="center"/>
    </xf>
    <xf numFmtId="0" fontId="21" fillId="11" borderId="18" xfId="46" applyFont="1" applyFill="1" applyBorder="1" applyAlignment="1">
      <alignment horizontal="left"/>
    </xf>
    <xf numFmtId="0" fontId="28" fillId="10" borderId="14" xfId="0" applyFont="1" applyFill="1" applyBorder="1" applyAlignment="1">
      <alignment horizontal="center" vertical="center" wrapText="1"/>
    </xf>
    <xf numFmtId="49" fontId="59" fillId="12" borderId="14" xfId="1" applyNumberFormat="1" applyFont="1" applyFill="1" applyBorder="1" applyAlignment="1">
      <alignment horizontal="center" vertical="center" wrapText="1"/>
    </xf>
    <xf numFmtId="49" fontId="59" fillId="0" borderId="18" xfId="1" applyNumberFormat="1" applyFont="1" applyBorder="1" applyAlignment="1">
      <alignment horizontal="center" vertical="center" wrapText="1"/>
    </xf>
    <xf numFmtId="0" fontId="17" fillId="0" borderId="9" xfId="254" applyBorder="1" applyAlignment="1">
      <alignment horizontal="left"/>
    </xf>
    <xf numFmtId="0" fontId="17" fillId="0" borderId="0" xfId="254"/>
    <xf numFmtId="0" fontId="0" fillId="17" borderId="45" xfId="0" applyFill="1" applyBorder="1"/>
    <xf numFmtId="0" fontId="0" fillId="17" borderId="46" xfId="0" applyFill="1" applyBorder="1"/>
    <xf numFmtId="0" fontId="0" fillId="0" borderId="45" xfId="0" applyBorder="1"/>
    <xf numFmtId="0" fontId="0" fillId="0" borderId="46" xfId="0" applyBorder="1"/>
    <xf numFmtId="0" fontId="21" fillId="0" borderId="14" xfId="0" applyFont="1" applyBorder="1" applyAlignment="1">
      <alignment horizontal="left" vertical="center"/>
    </xf>
    <xf numFmtId="0" fontId="60" fillId="0" borderId="9" xfId="0" applyFont="1" applyBorder="1" applyAlignment="1">
      <alignment horizontal="left" vertical="center" wrapText="1"/>
    </xf>
    <xf numFmtId="0" fontId="61" fillId="12" borderId="9" xfId="0" applyFont="1" applyFill="1" applyBorder="1" applyAlignment="1">
      <alignment horizontal="left"/>
    </xf>
    <xf numFmtId="0" fontId="62" fillId="0" borderId="20" xfId="0" applyFont="1" applyBorder="1" applyAlignment="1">
      <alignment horizontal="left" vertical="center"/>
    </xf>
    <xf numFmtId="0" fontId="63" fillId="0" borderId="19" xfId="254" applyFont="1" applyBorder="1" applyAlignment="1">
      <alignment horizontal="left"/>
    </xf>
    <xf numFmtId="0" fontId="62" fillId="0" borderId="14" xfId="0" applyFont="1" applyBorder="1" applyAlignment="1">
      <alignment vertical="center"/>
    </xf>
    <xf numFmtId="0" fontId="31" fillId="0" borderId="9" xfId="0" applyFont="1" applyBorder="1" applyAlignment="1">
      <alignment horizontal="left"/>
    </xf>
    <xf numFmtId="0" fontId="17" fillId="0" borderId="9" xfId="254" applyFill="1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32" fillId="0" borderId="9" xfId="0" applyFont="1" applyBorder="1" applyAlignment="1">
      <alignment horizontal="left"/>
    </xf>
    <xf numFmtId="0" fontId="30" fillId="0" borderId="21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21" fillId="0" borderId="9" xfId="0" applyFont="1" applyBorder="1" applyAlignment="1">
      <alignment horizontal="left"/>
    </xf>
    <xf numFmtId="0" fontId="31" fillId="0" borderId="9" xfId="0" applyFont="1" applyBorder="1" applyAlignment="1">
      <alignment horizontal="left" wrapText="1"/>
    </xf>
    <xf numFmtId="0" fontId="31" fillId="0" borderId="9" xfId="0" applyFont="1" applyBorder="1" applyAlignment="1">
      <alignment horizontal="left" vertical="center" wrapText="1"/>
    </xf>
    <xf numFmtId="0" fontId="1" fillId="0" borderId="9" xfId="0" applyFont="1" applyBorder="1"/>
    <xf numFmtId="0" fontId="60" fillId="0" borderId="9" xfId="0" applyFont="1" applyBorder="1" applyAlignment="1">
      <alignment horizontal="center" vertical="center" wrapText="1"/>
    </xf>
    <xf numFmtId="0" fontId="64" fillId="11" borderId="14" xfId="46" applyFont="1" applyFill="1" applyBorder="1" applyAlignment="1">
      <alignment horizontal="left"/>
    </xf>
    <xf numFmtId="0" fontId="62" fillId="0" borderId="20" xfId="0" applyFont="1" applyBorder="1" applyAlignment="1">
      <alignment horizontal="center" vertical="center"/>
    </xf>
    <xf numFmtId="0" fontId="62" fillId="0" borderId="19" xfId="0" applyFont="1" applyBorder="1" applyAlignment="1">
      <alignment horizontal="center"/>
    </xf>
    <xf numFmtId="0" fontId="21" fillId="11" borderId="14" xfId="46" applyFont="1" applyFill="1" applyBorder="1" applyAlignment="1">
      <alignment horizontal="center"/>
    </xf>
    <xf numFmtId="0" fontId="31" fillId="9" borderId="14" xfId="0" applyFont="1" applyFill="1" applyBorder="1" applyAlignment="1">
      <alignment horizontal="left"/>
    </xf>
    <xf numFmtId="0" fontId="42" fillId="0" borderId="0" xfId="0" applyFont="1" applyAlignment="1">
      <alignment horizontal="left" vertical="center"/>
    </xf>
    <xf numFmtId="0" fontId="31" fillId="0" borderId="9" xfId="0" applyFont="1" applyBorder="1"/>
    <xf numFmtId="0" fontId="31" fillId="0" borderId="14" xfId="0" applyFont="1" applyBorder="1" applyAlignment="1">
      <alignment wrapText="1"/>
    </xf>
    <xf numFmtId="0" fontId="21" fillId="0" borderId="14" xfId="46" applyFont="1" applyBorder="1" applyAlignment="1">
      <alignment horizontal="left"/>
    </xf>
    <xf numFmtId="0" fontId="62" fillId="0" borderId="14" xfId="0" applyFont="1" applyBorder="1"/>
    <xf numFmtId="0" fontId="62" fillId="0" borderId="14" xfId="0" applyFont="1" applyBorder="1" applyAlignment="1">
      <alignment horizontal="left"/>
    </xf>
    <xf numFmtId="0" fontId="61" fillId="8" borderId="14" xfId="0" applyFont="1" applyFill="1" applyBorder="1" applyAlignment="1">
      <alignment wrapText="1"/>
    </xf>
    <xf numFmtId="0" fontId="62" fillId="0" borderId="14" xfId="0" applyFont="1" applyBorder="1" applyAlignment="1">
      <alignment horizontal="center" vertical="center"/>
    </xf>
    <xf numFmtId="0" fontId="61" fillId="10" borderId="14" xfId="0" applyFont="1" applyFill="1" applyBorder="1" applyAlignment="1">
      <alignment horizontal="center" vertical="center" wrapText="1"/>
    </xf>
    <xf numFmtId="49" fontId="36" fillId="12" borderId="11" xfId="1" applyNumberFormat="1" applyFont="1" applyFill="1" applyBorder="1" applyAlignment="1">
      <alignment horizontal="center" vertical="center"/>
    </xf>
    <xf numFmtId="49" fontId="36" fillId="12" borderId="47" xfId="1" applyNumberFormat="1" applyFont="1" applyFill="1" applyBorder="1" applyAlignment="1">
      <alignment horizontal="center" vertical="center"/>
    </xf>
    <xf numFmtId="49" fontId="36" fillId="12" borderId="37" xfId="1" applyNumberFormat="1" applyFont="1" applyFill="1" applyBorder="1" applyAlignment="1">
      <alignment horizontal="center" vertical="center"/>
    </xf>
    <xf numFmtId="49" fontId="36" fillId="12" borderId="38" xfId="1" applyNumberFormat="1" applyFont="1" applyFill="1" applyBorder="1" applyAlignment="1">
      <alignment horizontal="center" vertical="center"/>
    </xf>
    <xf numFmtId="49" fontId="59" fillId="12" borderId="17" xfId="1" applyNumberFormat="1" applyFont="1" applyFill="1" applyBorder="1" applyAlignment="1">
      <alignment horizontal="center" vertical="center" wrapText="1"/>
    </xf>
    <xf numFmtId="49" fontId="59" fillId="0" borderId="38" xfId="1" applyNumberFormat="1" applyFont="1" applyBorder="1" applyAlignment="1">
      <alignment horizontal="center" vertical="center" wrapText="1"/>
    </xf>
    <xf numFmtId="49" fontId="36" fillId="12" borderId="17" xfId="1" applyNumberFormat="1" applyFont="1" applyFill="1" applyBorder="1" applyAlignment="1">
      <alignment horizontal="center" vertical="center" wrapText="1"/>
    </xf>
    <xf numFmtId="49" fontId="36" fillId="12" borderId="38" xfId="1" applyNumberFormat="1" applyFont="1" applyFill="1" applyBorder="1" applyAlignment="1">
      <alignment horizontal="center" vertical="center" wrapText="1"/>
    </xf>
    <xf numFmtId="49" fontId="59" fillId="12" borderId="9" xfId="1" applyNumberFormat="1" applyFont="1" applyFill="1" applyBorder="1" applyAlignment="1">
      <alignment horizontal="center" vertical="center" wrapText="1"/>
    </xf>
    <xf numFmtId="49" fontId="59" fillId="0" borderId="9" xfId="1" applyNumberFormat="1" applyFont="1" applyBorder="1" applyAlignment="1">
      <alignment horizontal="center" vertical="center" wrapText="1"/>
    </xf>
    <xf numFmtId="49" fontId="36" fillId="12" borderId="9" xfId="1" applyNumberFormat="1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5" fillId="18" borderId="9" xfId="0" applyFont="1" applyFill="1" applyBorder="1" applyAlignment="1">
      <alignment wrapText="1"/>
    </xf>
    <xf numFmtId="0" fontId="65" fillId="19" borderId="9" xfId="0" applyFont="1" applyFill="1" applyBorder="1" applyAlignment="1">
      <alignment wrapText="1"/>
    </xf>
    <xf numFmtId="0" fontId="16" fillId="0" borderId="0" xfId="0" applyFont="1" applyAlignment="1">
      <alignment horizontal="center"/>
    </xf>
    <xf numFmtId="9" fontId="0" fillId="0" borderId="9" xfId="0" applyNumberFormat="1" applyBorder="1" applyAlignment="1">
      <alignment horizontal="center"/>
    </xf>
    <xf numFmtId="0" fontId="66" fillId="0" borderId="9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/>
    </xf>
    <xf numFmtId="0" fontId="66" fillId="8" borderId="14" xfId="0" applyFont="1" applyFill="1" applyBorder="1" applyAlignment="1">
      <alignment wrapText="1"/>
    </xf>
    <xf numFmtId="0" fontId="66" fillId="0" borderId="14" xfId="0" applyFont="1" applyBorder="1" applyAlignment="1">
      <alignment horizontal="center" vertical="center"/>
    </xf>
    <xf numFmtId="0" fontId="66" fillId="10" borderId="14" xfId="0" applyFont="1" applyFill="1" applyBorder="1" applyAlignment="1">
      <alignment horizontal="center" vertical="center" wrapText="1"/>
    </xf>
    <xf numFmtId="0" fontId="66" fillId="0" borderId="14" xfId="0" applyFont="1" applyBorder="1" applyAlignment="1">
      <alignment vertical="center"/>
    </xf>
    <xf numFmtId="0" fontId="30" fillId="0" borderId="10" xfId="0" applyFont="1" applyBorder="1" applyAlignment="1">
      <alignment horizontal="center" vertical="center" wrapText="1"/>
    </xf>
    <xf numFmtId="0" fontId="30" fillId="12" borderId="10" xfId="0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/>
    </xf>
    <xf numFmtId="0" fontId="30" fillId="0" borderId="18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9" xfId="0" applyFont="1" applyBorder="1" applyAlignment="1">
      <alignment vertical="center"/>
    </xf>
    <xf numFmtId="9" fontId="0" fillId="0" borderId="9" xfId="255" applyFont="1" applyBorder="1" applyAlignment="1">
      <alignment horizontal="center"/>
    </xf>
    <xf numFmtId="9" fontId="44" fillId="0" borderId="9" xfId="0" applyNumberFormat="1" applyFont="1" applyBorder="1" applyAlignment="1">
      <alignment horizontal="center"/>
    </xf>
    <xf numFmtId="9" fontId="44" fillId="0" borderId="9" xfId="255" applyFont="1" applyBorder="1" applyAlignment="1">
      <alignment horizontal="center"/>
    </xf>
    <xf numFmtId="9" fontId="0" fillId="0" borderId="0" xfId="255" applyFont="1"/>
    <xf numFmtId="0" fontId="42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9" fontId="1" fillId="0" borderId="0" xfId="0" applyNumberFormat="1" applyFont="1"/>
    <xf numFmtId="0" fontId="28" fillId="0" borderId="14" xfId="0" applyFont="1" applyBorder="1"/>
    <xf numFmtId="0" fontId="28" fillId="0" borderId="14" xfId="0" applyFont="1" applyBorder="1" applyAlignment="1">
      <alignment horizontal="center"/>
    </xf>
    <xf numFmtId="0" fontId="28" fillId="8" borderId="14" xfId="0" applyFont="1" applyFill="1" applyBorder="1" applyAlignment="1">
      <alignment wrapText="1"/>
    </xf>
    <xf numFmtId="0" fontId="28" fillId="0" borderId="14" xfId="0" applyFont="1" applyBorder="1" applyAlignment="1">
      <alignment horizontal="center" vertical="center"/>
    </xf>
    <xf numFmtId="167" fontId="6" fillId="3" borderId="6" xfId="1" applyNumberFormat="1" applyFont="1" applyFill="1" applyBorder="1" applyAlignment="1">
      <alignment horizontal="left" vertical="center"/>
    </xf>
    <xf numFmtId="49" fontId="5" fillId="2" borderId="9" xfId="1" applyNumberFormat="1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6" fillId="16" borderId="37" xfId="0" applyFont="1" applyFill="1" applyBorder="1" applyAlignment="1">
      <alignment horizontal="center" vertical="center" wrapText="1"/>
    </xf>
  </cellXfs>
  <cellStyles count="256">
    <cellStyle name="Comma 2" xfId="93" xr:uid="{00000000-0005-0000-0000-000000000000}"/>
    <cellStyle name="Hyperlink" xfId="254" builtinId="8"/>
    <cellStyle name="Hyperlink 2" xfId="65" xr:uid="{00000000-0005-0000-0000-000002000000}"/>
    <cellStyle name="Hyperlink 3" xfId="64" xr:uid="{00000000-0005-0000-0000-000003000000}"/>
    <cellStyle name="Normal" xfId="0" builtinId="0"/>
    <cellStyle name="Normal 101" xfId="2" xr:uid="{00000000-0005-0000-0000-000005000000}"/>
    <cellStyle name="Normal 103" xfId="5" xr:uid="{00000000-0005-0000-0000-000006000000}"/>
    <cellStyle name="Normal 105" xfId="6" xr:uid="{00000000-0005-0000-0000-000007000000}"/>
    <cellStyle name="Normal 107" xfId="24" xr:uid="{00000000-0005-0000-0000-000008000000}"/>
    <cellStyle name="Normal 109" xfId="26" xr:uid="{00000000-0005-0000-0000-000009000000}"/>
    <cellStyle name="Normal 111" xfId="7" xr:uid="{00000000-0005-0000-0000-00000A000000}"/>
    <cellStyle name="Normal 113" xfId="21" xr:uid="{00000000-0005-0000-0000-00000B000000}"/>
    <cellStyle name="Normal 115" xfId="8" xr:uid="{00000000-0005-0000-0000-00000C000000}"/>
    <cellStyle name="Normal 117" xfId="9" xr:uid="{00000000-0005-0000-0000-00000D000000}"/>
    <cellStyle name="Normal 119" xfId="10" xr:uid="{00000000-0005-0000-0000-00000E000000}"/>
    <cellStyle name="Normal 123" xfId="31" xr:uid="{00000000-0005-0000-0000-00000F000000}"/>
    <cellStyle name="Normal 126" xfId="11" xr:uid="{00000000-0005-0000-0000-000010000000}"/>
    <cellStyle name="Normal 128" xfId="12" xr:uid="{00000000-0005-0000-0000-000011000000}"/>
    <cellStyle name="Normal 2" xfId="3" xr:uid="{00000000-0005-0000-0000-000012000000}"/>
    <cellStyle name="Normal 2 10" xfId="46" xr:uid="{00000000-0005-0000-0000-000013000000}"/>
    <cellStyle name="Normal 2 11" xfId="45" xr:uid="{00000000-0005-0000-0000-000014000000}"/>
    <cellStyle name="Normal 2 12" xfId="47" xr:uid="{00000000-0005-0000-0000-000015000000}"/>
    <cellStyle name="Normal 2 14" xfId="48" xr:uid="{00000000-0005-0000-0000-000016000000}"/>
    <cellStyle name="Normal 2 2" xfId="1" xr:uid="{00000000-0005-0000-0000-000017000000}"/>
    <cellStyle name="Normal 2 2 2" xfId="58" xr:uid="{00000000-0005-0000-0000-000018000000}"/>
    <cellStyle name="Normal 2 2 2 2" xfId="59" xr:uid="{00000000-0005-0000-0000-000019000000}"/>
    <cellStyle name="Normal 2 2 2 2 2" xfId="70" xr:uid="{00000000-0005-0000-0000-00001A000000}"/>
    <cellStyle name="Normal 2 2 2 2 2 2" xfId="71" xr:uid="{00000000-0005-0000-0000-00001B000000}"/>
    <cellStyle name="Normal 2 2 2 2 2 2 2" xfId="100" xr:uid="{00000000-0005-0000-0000-00001C000000}"/>
    <cellStyle name="Normal 2 2 2 2 2 2 2 2" xfId="101" xr:uid="{00000000-0005-0000-0000-00001D000000}"/>
    <cellStyle name="Normal 2 2 2 2 2 2 2 2 2" xfId="102" xr:uid="{00000000-0005-0000-0000-00001E000000}"/>
    <cellStyle name="Normal 2 2 2 2 2 2 2 2 2 2" xfId="103" xr:uid="{00000000-0005-0000-0000-00001F000000}"/>
    <cellStyle name="Normal 2 2 2 2 2 2 2 2 2 3" xfId="104" xr:uid="{00000000-0005-0000-0000-000020000000}"/>
    <cellStyle name="Normal 2 2 2 2 2 2 2 2 2 3 2" xfId="105" xr:uid="{00000000-0005-0000-0000-000021000000}"/>
    <cellStyle name="Normal 2 2 2 2 2 2 2 2 2 3 2 2" xfId="106" xr:uid="{00000000-0005-0000-0000-000022000000}"/>
    <cellStyle name="Normal 2 2 2 2 2 2 2 2 2 3 2 2 2" xfId="107" xr:uid="{00000000-0005-0000-0000-000023000000}"/>
    <cellStyle name="Normal 2 2 2 2 2 2 2 2 2 3 3" xfId="108" xr:uid="{00000000-0005-0000-0000-000024000000}"/>
    <cellStyle name="Normal 2 2 2 2 2 2 2 2 2 3 3 2" xfId="109" xr:uid="{00000000-0005-0000-0000-000025000000}"/>
    <cellStyle name="Normal 2 2 2 2 2 2 2 2 2 3 3 2 2" xfId="110" xr:uid="{00000000-0005-0000-0000-000026000000}"/>
    <cellStyle name="Normal 2 2 2 2 2 2 2 2 2 3 3 2 2 2" xfId="111" xr:uid="{00000000-0005-0000-0000-000027000000}"/>
    <cellStyle name="Normal 2 2 2 2 2 2 2 2 2 3 3 2 2 2 2" xfId="112" xr:uid="{00000000-0005-0000-0000-000028000000}"/>
    <cellStyle name="Normal 2 2 2 2 2 2 2 2 2 3 3 2 2 2 2 2" xfId="113" xr:uid="{00000000-0005-0000-0000-000029000000}"/>
    <cellStyle name="Normal 2 2 2 2 2 2 2 2 2 3 3 2 2 2 2 2 2" xfId="114" xr:uid="{00000000-0005-0000-0000-00002A000000}"/>
    <cellStyle name="Normal 2 2 2 2 2 2 2 2 2 3 3 2 2 2 2 2 2 2 2" xfId="96" xr:uid="{00000000-0005-0000-0000-00002B000000}"/>
    <cellStyle name="Normal 2 2 2 2 2 2 2 2 2 3 3 2 2 2 3" xfId="115" xr:uid="{00000000-0005-0000-0000-00002C000000}"/>
    <cellStyle name="Normal 2 2 2 2 2 2 2 2 2 3 3 2 3" xfId="116" xr:uid="{00000000-0005-0000-0000-00002D000000}"/>
    <cellStyle name="Normal 2 2 2 2 2 2 2 2 2 3 3 2 3 2" xfId="117" xr:uid="{00000000-0005-0000-0000-00002E000000}"/>
    <cellStyle name="Normal 2 2 2 2 2 2 2 2 2 3 3 2 3 2 2" xfId="118" xr:uid="{00000000-0005-0000-0000-00002F000000}"/>
    <cellStyle name="Normal 2 2 2 2 2 2 2 2 2 3 3 2 3 2 2 2 2" xfId="99" xr:uid="{00000000-0005-0000-0000-000030000000}"/>
    <cellStyle name="Normal 2 2 2 2 2 2 2 2 2 3 3 3" xfId="119" xr:uid="{00000000-0005-0000-0000-000031000000}"/>
    <cellStyle name="Normal 2 2 2 2 2 2 2 2 2 3 3 3 2" xfId="120" xr:uid="{00000000-0005-0000-0000-000032000000}"/>
    <cellStyle name="Normal 2 2 2 2 2 2 2 2 2 3 3 3 2 2" xfId="121" xr:uid="{00000000-0005-0000-0000-000033000000}"/>
    <cellStyle name="Normal 2 2 2 2 2 2 2 2 2 3 3 3 2 2 2" xfId="122" xr:uid="{00000000-0005-0000-0000-000034000000}"/>
    <cellStyle name="Normal 2 2 2 2 2 2 2 2 3" xfId="123" xr:uid="{00000000-0005-0000-0000-000035000000}"/>
    <cellStyle name="Normal 2 2 2 2 2 2 2 2 3 2" xfId="124" xr:uid="{00000000-0005-0000-0000-000036000000}"/>
    <cellStyle name="Normal 2 2 2 2 2 2 2 2 3 3" xfId="125" xr:uid="{00000000-0005-0000-0000-000037000000}"/>
    <cellStyle name="Normal 2 2 2 2 2 2 2 2 3 3 2" xfId="126" xr:uid="{00000000-0005-0000-0000-000038000000}"/>
    <cellStyle name="Normal 2 2 2 2 2 2 2 2 3 3 2 2" xfId="127" xr:uid="{00000000-0005-0000-0000-000039000000}"/>
    <cellStyle name="Normal 2 2 2 2 2 2 2 2 3 3 2 2 2" xfId="128" xr:uid="{00000000-0005-0000-0000-00003A000000}"/>
    <cellStyle name="Normal 2 2 2 2 2 2 2 2 3 3 2 2 2 2" xfId="129" xr:uid="{00000000-0005-0000-0000-00003B000000}"/>
    <cellStyle name="Normal 2 2 2 2 2 2 2 2 3 3 2 2 2 2 2" xfId="130" xr:uid="{00000000-0005-0000-0000-00003C000000}"/>
    <cellStyle name="Normal 2 2 2 2 2 2 2 2 4" xfId="131" xr:uid="{00000000-0005-0000-0000-00003D000000}"/>
    <cellStyle name="Normal 2 2 2 2 2 2 2 3" xfId="132" xr:uid="{00000000-0005-0000-0000-00003E000000}"/>
    <cellStyle name="Normal 2 2 2 2 2 2 2 3 2" xfId="133" xr:uid="{00000000-0005-0000-0000-00003F000000}"/>
    <cellStyle name="Normal 2 2 2 2 2 2 2 4" xfId="134" xr:uid="{00000000-0005-0000-0000-000040000000}"/>
    <cellStyle name="Normal 2 2 2 2 2 2 3" xfId="135" xr:uid="{00000000-0005-0000-0000-000041000000}"/>
    <cellStyle name="Normal 2 2 2 2 2 2 3 2" xfId="136" xr:uid="{00000000-0005-0000-0000-000042000000}"/>
    <cellStyle name="Normal 2 2 2 2 2 2 4" xfId="137" xr:uid="{00000000-0005-0000-0000-000043000000}"/>
    <cellStyle name="Normal 2 2 2 2 2 3" xfId="72" xr:uid="{00000000-0005-0000-0000-000044000000}"/>
    <cellStyle name="Normal 2 2 2 2 2 3 2" xfId="138" xr:uid="{00000000-0005-0000-0000-000045000000}"/>
    <cellStyle name="Normal 2 2 2 2 2 3 2 2" xfId="139" xr:uid="{00000000-0005-0000-0000-000046000000}"/>
    <cellStyle name="Normal 2 2 2 2 2 3 3" xfId="140" xr:uid="{00000000-0005-0000-0000-000047000000}"/>
    <cellStyle name="Normal 2 2 2 2 2 4" xfId="73" xr:uid="{00000000-0005-0000-0000-000048000000}"/>
    <cellStyle name="Normal 2 2 2 2 2 4 2" xfId="141" xr:uid="{00000000-0005-0000-0000-000049000000}"/>
    <cellStyle name="Normal 2 2 2 2 2 4 2 2" xfId="142" xr:uid="{00000000-0005-0000-0000-00004A000000}"/>
    <cellStyle name="Normal 2 2 2 2 2 4 3" xfId="143" xr:uid="{00000000-0005-0000-0000-00004B000000}"/>
    <cellStyle name="Normal 2 2 2 2 2 5" xfId="144" xr:uid="{00000000-0005-0000-0000-00004C000000}"/>
    <cellStyle name="Normal 2 2 2 2 2 5 2" xfId="145" xr:uid="{00000000-0005-0000-0000-00004D000000}"/>
    <cellStyle name="Normal 2 2 2 2 2 6" xfId="146" xr:uid="{00000000-0005-0000-0000-00004E000000}"/>
    <cellStyle name="Normal 2 2 2 2 3" xfId="74" xr:uid="{00000000-0005-0000-0000-00004F000000}"/>
    <cellStyle name="Normal 2 2 2 2 3 2" xfId="75" xr:uid="{00000000-0005-0000-0000-000050000000}"/>
    <cellStyle name="Normal 2 2 2 2 3 2 2" xfId="147" xr:uid="{00000000-0005-0000-0000-000051000000}"/>
    <cellStyle name="Normal 2 2 2 2 3 2 2 2" xfId="148" xr:uid="{00000000-0005-0000-0000-000052000000}"/>
    <cellStyle name="Normal 2 2 2 2 3 2 2 2 2" xfId="149" xr:uid="{00000000-0005-0000-0000-000053000000}"/>
    <cellStyle name="Normal 2 2 2 2 3 2 2 3" xfId="150" xr:uid="{00000000-0005-0000-0000-000054000000}"/>
    <cellStyle name="Normal 2 2 2 2 3 2 2 4" xfId="151" xr:uid="{00000000-0005-0000-0000-000055000000}"/>
    <cellStyle name="Normal 2 2 2 2 3 2 2 4 2" xfId="152" xr:uid="{00000000-0005-0000-0000-000056000000}"/>
    <cellStyle name="Normal 2 2 2 2 3 2 2 4 2 2" xfId="153" xr:uid="{00000000-0005-0000-0000-000057000000}"/>
    <cellStyle name="Normal 2 2 2 2 3 2 2 4 2 2 2" xfId="154" xr:uid="{00000000-0005-0000-0000-000058000000}"/>
    <cellStyle name="Normal 2 2 2 2 3 2 2 4 2 2 2 2" xfId="155" xr:uid="{00000000-0005-0000-0000-000059000000}"/>
    <cellStyle name="Normal 2 2 2 2 3 2 2 4 2 2 2 2 2" xfId="156" xr:uid="{00000000-0005-0000-0000-00005A000000}"/>
    <cellStyle name="Normal 2 2 2 2 3 2 3" xfId="157" xr:uid="{00000000-0005-0000-0000-00005B000000}"/>
    <cellStyle name="Normal 2 2 2 2 3 2 3 2" xfId="158" xr:uid="{00000000-0005-0000-0000-00005C000000}"/>
    <cellStyle name="Normal 2 2 2 2 3 2 4" xfId="159" xr:uid="{00000000-0005-0000-0000-00005D000000}"/>
    <cellStyle name="Normal 2 2 2 2 3 3" xfId="76" xr:uid="{00000000-0005-0000-0000-00005E000000}"/>
    <cellStyle name="Normal 2 2 2 2 3 3 2" xfId="160" xr:uid="{00000000-0005-0000-0000-00005F000000}"/>
    <cellStyle name="Normal 2 2 2 2 3 3 2 2" xfId="161" xr:uid="{00000000-0005-0000-0000-000060000000}"/>
    <cellStyle name="Normal 2 2 2 2 3 3 3" xfId="162" xr:uid="{00000000-0005-0000-0000-000061000000}"/>
    <cellStyle name="Normal 2 2 2 2 3 4" xfId="77" xr:uid="{00000000-0005-0000-0000-000062000000}"/>
    <cellStyle name="Normal 2 2 2 2 3 4 2" xfId="163" xr:uid="{00000000-0005-0000-0000-000063000000}"/>
    <cellStyle name="Normal 2 2 2 2 3 4 2 2" xfId="164" xr:uid="{00000000-0005-0000-0000-000064000000}"/>
    <cellStyle name="Normal 2 2 2 2 3 4 3" xfId="165" xr:uid="{00000000-0005-0000-0000-000065000000}"/>
    <cellStyle name="Normal 2 2 2 2 3 5" xfId="166" xr:uid="{00000000-0005-0000-0000-000066000000}"/>
    <cellStyle name="Normal 2 2 2 2 3 5 2" xfId="167" xr:uid="{00000000-0005-0000-0000-000067000000}"/>
    <cellStyle name="Normal 2 2 2 2 3 6" xfId="168" xr:uid="{00000000-0005-0000-0000-000068000000}"/>
    <cellStyle name="Normal 2 2 2 2 4" xfId="78" xr:uid="{00000000-0005-0000-0000-000069000000}"/>
    <cellStyle name="Normal 2 2 2 2 4 2" xfId="169" xr:uid="{00000000-0005-0000-0000-00006A000000}"/>
    <cellStyle name="Normal 2 2 2 2 4 2 2" xfId="170" xr:uid="{00000000-0005-0000-0000-00006B000000}"/>
    <cellStyle name="Normal 2 2 2 2 4 3" xfId="171" xr:uid="{00000000-0005-0000-0000-00006C000000}"/>
    <cellStyle name="Normal 2 2 2 2 5" xfId="79" xr:uid="{00000000-0005-0000-0000-00006D000000}"/>
    <cellStyle name="Normal 2 2 2 2 5 2" xfId="172" xr:uid="{00000000-0005-0000-0000-00006E000000}"/>
    <cellStyle name="Normal 2 2 2 2 5 2 2" xfId="173" xr:uid="{00000000-0005-0000-0000-00006F000000}"/>
    <cellStyle name="Normal 2 2 2 2 5 3" xfId="174" xr:uid="{00000000-0005-0000-0000-000070000000}"/>
    <cellStyle name="Normal 2 2 2 2 6" xfId="80" xr:uid="{00000000-0005-0000-0000-000071000000}"/>
    <cellStyle name="Normal 2 2 2 2 6 2" xfId="175" xr:uid="{00000000-0005-0000-0000-000072000000}"/>
    <cellStyle name="Normal 2 2 2 2 6 2 2" xfId="176" xr:uid="{00000000-0005-0000-0000-000073000000}"/>
    <cellStyle name="Normal 2 2 2 2 6 3" xfId="177" xr:uid="{00000000-0005-0000-0000-000074000000}"/>
    <cellStyle name="Normal 2 2 2 2 7" xfId="178" xr:uid="{00000000-0005-0000-0000-000075000000}"/>
    <cellStyle name="Normal 2 2 2 2 7 2" xfId="179" xr:uid="{00000000-0005-0000-0000-000076000000}"/>
    <cellStyle name="Normal 2 2 2 2 8" xfId="180" xr:uid="{00000000-0005-0000-0000-000077000000}"/>
    <cellStyle name="Normal 2 2 2 3" xfId="81" xr:uid="{00000000-0005-0000-0000-000078000000}"/>
    <cellStyle name="Normal 2 2 2 3 2" xfId="181" xr:uid="{00000000-0005-0000-0000-000079000000}"/>
    <cellStyle name="Normal 2 2 2 3 2 2" xfId="182" xr:uid="{00000000-0005-0000-0000-00007A000000}"/>
    <cellStyle name="Normal 2 2 2 3 3" xfId="183" xr:uid="{00000000-0005-0000-0000-00007B000000}"/>
    <cellStyle name="Normal 2 2 2 4" xfId="82" xr:uid="{00000000-0005-0000-0000-00007C000000}"/>
    <cellStyle name="Normal 2 2 2 4 2" xfId="184" xr:uid="{00000000-0005-0000-0000-00007D000000}"/>
    <cellStyle name="Normal 2 2 2 4 2 2" xfId="185" xr:uid="{00000000-0005-0000-0000-00007E000000}"/>
    <cellStyle name="Normal 2 2 2 4 3" xfId="186" xr:uid="{00000000-0005-0000-0000-00007F000000}"/>
    <cellStyle name="Normal 2 2 2 5" xfId="83" xr:uid="{00000000-0005-0000-0000-000080000000}"/>
    <cellStyle name="Normal 2 2 2 5 2" xfId="187" xr:uid="{00000000-0005-0000-0000-000081000000}"/>
    <cellStyle name="Normal 2 2 2 5 2 2" xfId="188" xr:uid="{00000000-0005-0000-0000-000082000000}"/>
    <cellStyle name="Normal 2 2 2 5 3" xfId="189" xr:uid="{00000000-0005-0000-0000-000083000000}"/>
    <cellStyle name="Normal 2 2 2 6" xfId="190" xr:uid="{00000000-0005-0000-0000-000084000000}"/>
    <cellStyle name="Normal 2 2 2 6 2" xfId="191" xr:uid="{00000000-0005-0000-0000-000085000000}"/>
    <cellStyle name="Normal 2 2 2 7" xfId="192" xr:uid="{00000000-0005-0000-0000-000086000000}"/>
    <cellStyle name="Normal 2 2 3" xfId="84" xr:uid="{00000000-0005-0000-0000-000087000000}"/>
    <cellStyle name="Normal 2 2 3 2" xfId="193" xr:uid="{00000000-0005-0000-0000-000088000000}"/>
    <cellStyle name="Normal 2 2 3 2 2" xfId="194" xr:uid="{00000000-0005-0000-0000-000089000000}"/>
    <cellStyle name="Normal 2 2 3 3" xfId="195" xr:uid="{00000000-0005-0000-0000-00008A000000}"/>
    <cellStyle name="Normal 2 2 4" xfId="85" xr:uid="{00000000-0005-0000-0000-00008B000000}"/>
    <cellStyle name="Normal 2 2 4 2" xfId="196" xr:uid="{00000000-0005-0000-0000-00008C000000}"/>
    <cellStyle name="Normal 2 2 4 2 2" xfId="197" xr:uid="{00000000-0005-0000-0000-00008D000000}"/>
    <cellStyle name="Normal 2 2 4 3" xfId="198" xr:uid="{00000000-0005-0000-0000-00008E000000}"/>
    <cellStyle name="Normal 2 2 5" xfId="86" xr:uid="{00000000-0005-0000-0000-00008F000000}"/>
    <cellStyle name="Normal 2 2 5 2" xfId="199" xr:uid="{00000000-0005-0000-0000-000090000000}"/>
    <cellStyle name="Normal 2 2 5 2 2" xfId="200" xr:uid="{00000000-0005-0000-0000-000091000000}"/>
    <cellStyle name="Normal 2 2 5 3" xfId="201" xr:uid="{00000000-0005-0000-0000-000092000000}"/>
    <cellStyle name="Normal 2 2 6" xfId="92" xr:uid="{00000000-0005-0000-0000-000093000000}"/>
    <cellStyle name="Normal 2 2 6 2" xfId="203" xr:uid="{00000000-0005-0000-0000-000094000000}"/>
    <cellStyle name="Normal 2 2 6 3" xfId="248" xr:uid="{00000000-0005-0000-0000-000095000000}"/>
    <cellStyle name="Normal 2 2 6 4" xfId="202" xr:uid="{00000000-0005-0000-0000-000096000000}"/>
    <cellStyle name="Normal 2 2 7" xfId="204" xr:uid="{00000000-0005-0000-0000-000097000000}"/>
    <cellStyle name="Normal 2 3" xfId="60" xr:uid="{00000000-0005-0000-0000-000098000000}"/>
    <cellStyle name="Normal 2 3 2" xfId="69" xr:uid="{00000000-0005-0000-0000-000099000000}"/>
    <cellStyle name="Normal 2 3 2 2" xfId="206" xr:uid="{00000000-0005-0000-0000-00009A000000}"/>
    <cellStyle name="Normal 2 3 2 2 2" xfId="207" xr:uid="{00000000-0005-0000-0000-00009B000000}"/>
    <cellStyle name="Normal 2 3 2 2 2 2" xfId="208" xr:uid="{00000000-0005-0000-0000-00009C000000}"/>
    <cellStyle name="Normal 2 3 2 2 2 2 2" xfId="209" xr:uid="{00000000-0005-0000-0000-00009D000000}"/>
    <cellStyle name="Normal 2 3 2 2 2 2 2 2" xfId="210" xr:uid="{00000000-0005-0000-0000-00009E000000}"/>
    <cellStyle name="Normal 2 3 2 2 2 2 2 2 2" xfId="211" xr:uid="{00000000-0005-0000-0000-00009F000000}"/>
    <cellStyle name="Normal 2 3 2 2 2 2 2 3" xfId="212" xr:uid="{00000000-0005-0000-0000-0000A0000000}"/>
    <cellStyle name="Normal 2 3 2 2 2 2 2 4" xfId="213" xr:uid="{00000000-0005-0000-0000-0000A1000000}"/>
    <cellStyle name="Normal 2 3 2 2 2 2 2 4 2" xfId="214" xr:uid="{00000000-0005-0000-0000-0000A2000000}"/>
    <cellStyle name="Normal 2 3 2 2 2 2 2 4 2 2" xfId="215" xr:uid="{00000000-0005-0000-0000-0000A3000000}"/>
    <cellStyle name="Normal 2 3 2 2 2 2 2 4 2 2 2" xfId="216" xr:uid="{00000000-0005-0000-0000-0000A4000000}"/>
    <cellStyle name="Normal 2 3 2 2 2 2 2 4 2 2 2 2" xfId="217" xr:uid="{00000000-0005-0000-0000-0000A5000000}"/>
    <cellStyle name="Normal 2 3 2 2 2 2 2 4 2 2 2 2 2" xfId="218" xr:uid="{00000000-0005-0000-0000-0000A6000000}"/>
    <cellStyle name="Normal 2 3 2 2 2 2 2 4 2 2 2 2 2 2" xfId="219" xr:uid="{00000000-0005-0000-0000-0000A7000000}"/>
    <cellStyle name="Normal 2 3 2 2 2 2 2 4 2 2 2 2 2 2 2" xfId="98" xr:uid="{00000000-0005-0000-0000-0000A8000000}"/>
    <cellStyle name="Normal 2 3 2 2 2 2 3" xfId="220" xr:uid="{00000000-0005-0000-0000-0000A9000000}"/>
    <cellStyle name="Normal 2 3 2 2 2 2 3 2" xfId="221" xr:uid="{00000000-0005-0000-0000-0000AA000000}"/>
    <cellStyle name="Normal 2 3 2 2 2 2 4" xfId="222" xr:uid="{00000000-0005-0000-0000-0000AB000000}"/>
    <cellStyle name="Normal 2 3 2 2 2 3" xfId="223" xr:uid="{00000000-0005-0000-0000-0000AC000000}"/>
    <cellStyle name="Normal 2 3 2 2 2 3 2" xfId="224" xr:uid="{00000000-0005-0000-0000-0000AD000000}"/>
    <cellStyle name="Normal 2 3 2 2 2 4" xfId="225" xr:uid="{00000000-0005-0000-0000-0000AE000000}"/>
    <cellStyle name="Normal 2 3 2 2 3" xfId="226" xr:uid="{00000000-0005-0000-0000-0000AF000000}"/>
    <cellStyle name="Normal 2 3 2 2 3 2" xfId="227" xr:uid="{00000000-0005-0000-0000-0000B0000000}"/>
    <cellStyle name="Normal 2 3 2 2 4" xfId="228" xr:uid="{00000000-0005-0000-0000-0000B1000000}"/>
    <cellStyle name="Normal 2 3 2 3" xfId="229" xr:uid="{00000000-0005-0000-0000-0000B2000000}"/>
    <cellStyle name="Normal 2 3 2 3 2" xfId="230" xr:uid="{00000000-0005-0000-0000-0000B3000000}"/>
    <cellStyle name="Normal 2 3 2 4" xfId="231" xr:uid="{00000000-0005-0000-0000-0000B4000000}"/>
    <cellStyle name="Normal 2 3 3" xfId="232" xr:uid="{00000000-0005-0000-0000-0000B5000000}"/>
    <cellStyle name="Normal 2 3 3 2" xfId="233" xr:uid="{00000000-0005-0000-0000-0000B6000000}"/>
    <cellStyle name="Normal 2 3 4" xfId="234" xr:uid="{00000000-0005-0000-0000-0000B7000000}"/>
    <cellStyle name="Normal 2 3 5" xfId="205" xr:uid="{00000000-0005-0000-0000-0000B8000000}"/>
    <cellStyle name="Normal 2 3 6" xfId="95" xr:uid="{00000000-0005-0000-0000-0000B9000000}"/>
    <cellStyle name="Normal 2 4" xfId="49" xr:uid="{00000000-0005-0000-0000-0000BA000000}"/>
    <cellStyle name="Normal 2 4 2" xfId="91" xr:uid="{00000000-0005-0000-0000-0000BB000000}"/>
    <cellStyle name="Normal 2 4 2 2" xfId="236" xr:uid="{00000000-0005-0000-0000-0000BC000000}"/>
    <cellStyle name="Normal 2 4 2 3" xfId="249" xr:uid="{00000000-0005-0000-0000-0000BD000000}"/>
    <cellStyle name="Normal 2 4 2 4" xfId="235" xr:uid="{00000000-0005-0000-0000-0000BE000000}"/>
    <cellStyle name="Normal 2 4 3" xfId="87" xr:uid="{00000000-0005-0000-0000-0000BF000000}"/>
    <cellStyle name="Normal 2 4 4" xfId="252" xr:uid="{00000000-0005-0000-0000-0000C0000000}"/>
    <cellStyle name="Normal 2 5" xfId="88" xr:uid="{00000000-0005-0000-0000-0000C1000000}"/>
    <cellStyle name="Normal 2 5 2" xfId="237" xr:uid="{00000000-0005-0000-0000-0000C2000000}"/>
    <cellStyle name="Normal 2 5 2 2" xfId="238" xr:uid="{00000000-0005-0000-0000-0000C3000000}"/>
    <cellStyle name="Normal 2 5 3" xfId="239" xr:uid="{00000000-0005-0000-0000-0000C4000000}"/>
    <cellStyle name="Normal 2 6" xfId="68" xr:uid="{00000000-0005-0000-0000-0000C5000000}"/>
    <cellStyle name="Normal 2 6 2" xfId="241" xr:uid="{00000000-0005-0000-0000-0000C6000000}"/>
    <cellStyle name="Normal 2 6 3" xfId="250" xr:uid="{00000000-0005-0000-0000-0000C7000000}"/>
    <cellStyle name="Normal 2 6 4" xfId="240" xr:uid="{00000000-0005-0000-0000-0000C8000000}"/>
    <cellStyle name="Normal 2 7" xfId="242" xr:uid="{00000000-0005-0000-0000-0000C9000000}"/>
    <cellStyle name="Normal 2 8" xfId="50" xr:uid="{00000000-0005-0000-0000-0000CA000000}"/>
    <cellStyle name="Normal 2 9" xfId="97" xr:uid="{00000000-0005-0000-0000-0000CB000000}"/>
    <cellStyle name="Normal 3" xfId="4" xr:uid="{00000000-0005-0000-0000-0000CC000000}"/>
    <cellStyle name="Normal 3 2" xfId="52" xr:uid="{00000000-0005-0000-0000-0000CD000000}"/>
    <cellStyle name="Normal 3 2 2" xfId="53" xr:uid="{00000000-0005-0000-0000-0000CE000000}"/>
    <cellStyle name="Normal 3 3" xfId="51" xr:uid="{00000000-0005-0000-0000-0000CF000000}"/>
    <cellStyle name="Normal 3 4" xfId="13" xr:uid="{00000000-0005-0000-0000-0000D0000000}"/>
    <cellStyle name="Normal 4" xfId="44" xr:uid="{00000000-0005-0000-0000-0000D1000000}"/>
    <cellStyle name="Normal 4 2" xfId="62" xr:uid="{00000000-0005-0000-0000-0000D2000000}"/>
    <cellStyle name="Normal 4 2 2" xfId="253" xr:uid="{00000000-0005-0000-0000-0000D3000000}"/>
    <cellStyle name="Normal 4 3" xfId="63" xr:uid="{00000000-0005-0000-0000-0000D4000000}"/>
    <cellStyle name="Normal 4 3 2" xfId="251" xr:uid="{00000000-0005-0000-0000-0000D5000000}"/>
    <cellStyle name="Normal 4 3 3" xfId="243" xr:uid="{00000000-0005-0000-0000-0000D6000000}"/>
    <cellStyle name="Normal 4 4" xfId="61" xr:uid="{00000000-0005-0000-0000-0000D7000000}"/>
    <cellStyle name="Normal 45" xfId="34" xr:uid="{00000000-0005-0000-0000-0000D8000000}"/>
    <cellStyle name="Normal 47" xfId="35" xr:uid="{00000000-0005-0000-0000-0000D9000000}"/>
    <cellStyle name="Normal 48" xfId="244" xr:uid="{00000000-0005-0000-0000-0000DA000000}"/>
    <cellStyle name="Normal 49" xfId="43" xr:uid="{00000000-0005-0000-0000-0000DB000000}"/>
    <cellStyle name="Normal 5" xfId="54" xr:uid="{00000000-0005-0000-0000-0000DC000000}"/>
    <cellStyle name="Normal 50" xfId="245" xr:uid="{00000000-0005-0000-0000-0000DD000000}"/>
    <cellStyle name="Normal 51" xfId="42" xr:uid="{00000000-0005-0000-0000-0000DE000000}"/>
    <cellStyle name="Normal 53" xfId="40" xr:uid="{00000000-0005-0000-0000-0000DF000000}"/>
    <cellStyle name="Normal 54" xfId="246" xr:uid="{00000000-0005-0000-0000-0000E0000000}"/>
    <cellStyle name="Normal 55" xfId="32" xr:uid="{00000000-0005-0000-0000-0000E1000000}"/>
    <cellStyle name="Normal 56" xfId="247" xr:uid="{00000000-0005-0000-0000-0000E2000000}"/>
    <cellStyle name="Normal 57" xfId="41" xr:uid="{00000000-0005-0000-0000-0000E3000000}"/>
    <cellStyle name="Normal 59" xfId="39" xr:uid="{00000000-0005-0000-0000-0000E4000000}"/>
    <cellStyle name="Normal 6" xfId="66" xr:uid="{00000000-0005-0000-0000-0000E5000000}"/>
    <cellStyle name="Normal 6 2" xfId="89" xr:uid="{00000000-0005-0000-0000-0000E6000000}"/>
    <cellStyle name="Normal 60" xfId="55" xr:uid="{00000000-0005-0000-0000-0000E7000000}"/>
    <cellStyle name="Normal 61" xfId="37" xr:uid="{00000000-0005-0000-0000-0000E8000000}"/>
    <cellStyle name="Normal 63" xfId="33" xr:uid="{00000000-0005-0000-0000-0000E9000000}"/>
    <cellStyle name="Normal 65" xfId="14" xr:uid="{00000000-0005-0000-0000-0000EA000000}"/>
    <cellStyle name="Normal 67" xfId="15" xr:uid="{00000000-0005-0000-0000-0000EB000000}"/>
    <cellStyle name="Normal 69" xfId="36" xr:uid="{00000000-0005-0000-0000-0000EC000000}"/>
    <cellStyle name="Normal 7" xfId="67" xr:uid="{00000000-0005-0000-0000-0000ED000000}"/>
    <cellStyle name="Normal 7 2" xfId="90" xr:uid="{00000000-0005-0000-0000-0000EE000000}"/>
    <cellStyle name="Normal 71" xfId="38" xr:uid="{00000000-0005-0000-0000-0000EF000000}"/>
    <cellStyle name="Normal 73" xfId="16" xr:uid="{00000000-0005-0000-0000-0000F0000000}"/>
    <cellStyle name="Normal 75" xfId="17" xr:uid="{00000000-0005-0000-0000-0000F1000000}"/>
    <cellStyle name="Normal 79" xfId="22" xr:uid="{00000000-0005-0000-0000-0000F2000000}"/>
    <cellStyle name="Normal 81" xfId="27" xr:uid="{00000000-0005-0000-0000-0000F3000000}"/>
    <cellStyle name="Normal 83" xfId="28" xr:uid="{00000000-0005-0000-0000-0000F4000000}"/>
    <cellStyle name="Normal 85" xfId="29" xr:uid="{00000000-0005-0000-0000-0000F5000000}"/>
    <cellStyle name="Normal 87" xfId="25" xr:uid="{00000000-0005-0000-0000-0000F6000000}"/>
    <cellStyle name="Normal 91" xfId="18" xr:uid="{00000000-0005-0000-0000-0000F7000000}"/>
    <cellStyle name="Normal 93" xfId="19" xr:uid="{00000000-0005-0000-0000-0000F8000000}"/>
    <cellStyle name="Normal 95" xfId="30" xr:uid="{00000000-0005-0000-0000-0000F9000000}"/>
    <cellStyle name="Normal 97" xfId="23" xr:uid="{00000000-0005-0000-0000-0000FA000000}"/>
    <cellStyle name="Normal 99" xfId="20" xr:uid="{00000000-0005-0000-0000-0000FB000000}"/>
    <cellStyle name="Percent" xfId="255" builtinId="5"/>
    <cellStyle name="Percent 2" xfId="94" xr:uid="{00000000-0005-0000-0000-0000FC000000}"/>
    <cellStyle name="Style 1" xfId="56" xr:uid="{00000000-0005-0000-0000-0000FD000000}"/>
    <cellStyle name="標準_Sheet1" xfId="57" xr:uid="{00000000-0005-0000-0000-0000FE000000}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</a:t>
            </a:r>
            <a:r>
              <a:rPr lang="en-US" baseline="0"/>
              <a:t> Completion Status Per Module</a:t>
            </a:r>
            <a:endParaRPr lang="en-US"/>
          </a:p>
        </c:rich>
      </c:tx>
      <c:layout>
        <c:manualLayout>
          <c:xMode val="edge"/>
          <c:yMode val="edge"/>
          <c:x val="0.272294490482436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Oct!$L$6</c:f>
              <c:strCache>
                <c:ptCount val="1"/>
                <c:pt idx="0">
                  <c:v>Honda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Oct!$M$5:$P$5</c:f>
              <c:strCache>
                <c:ptCount val="4"/>
                <c:pt idx="0">
                  <c:v>Module 1 
Meet &amp; Greet &amp; Qualification</c:v>
                </c:pt>
                <c:pt idx="1">
                  <c:v>Module 2
Presentation, Demo, Negotiation &amp; Close</c:v>
                </c:pt>
                <c:pt idx="2">
                  <c:v>Module 3
Delivery &amp; Follow-up</c:v>
                </c:pt>
                <c:pt idx="3">
                  <c:v>Module 4 
Advanced Customer Communication</c:v>
                </c:pt>
              </c:strCache>
            </c:strRef>
          </c:cat>
          <c:val>
            <c:numRef>
              <c:f>Oct!$M$6:$P$6</c:f>
              <c:numCache>
                <c:formatCode>0%</c:formatCode>
                <c:ptCount val="4"/>
                <c:pt idx="0">
                  <c:v>1</c:v>
                </c:pt>
                <c:pt idx="1">
                  <c:v>0.76190476190476186</c:v>
                </c:pt>
                <c:pt idx="2">
                  <c:v>0.90476190476190477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F-442D-9ECD-F577EF3E1D1D}"/>
            </c:ext>
          </c:extLst>
        </c:ser>
        <c:ser>
          <c:idx val="1"/>
          <c:order val="1"/>
          <c:tx>
            <c:strRef>
              <c:f>Oct!$L$7</c:f>
              <c:strCache>
                <c:ptCount val="1"/>
                <c:pt idx="0">
                  <c:v>Volvo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Oct!$M$5:$P$5</c:f>
              <c:strCache>
                <c:ptCount val="4"/>
                <c:pt idx="0">
                  <c:v>Module 1 
Meet &amp; Greet &amp; Qualification</c:v>
                </c:pt>
                <c:pt idx="1">
                  <c:v>Module 2
Presentation, Demo, Negotiation &amp; Close</c:v>
                </c:pt>
                <c:pt idx="2">
                  <c:v>Module 3
Delivery &amp; Follow-up</c:v>
                </c:pt>
                <c:pt idx="3">
                  <c:v>Module 4 
Advanced Customer Communication</c:v>
                </c:pt>
              </c:strCache>
            </c:strRef>
          </c:cat>
          <c:val>
            <c:numRef>
              <c:f>Oct!$M$7:$P$7</c:f>
              <c:numCache>
                <c:formatCode>0%</c:formatCode>
                <c:ptCount val="4"/>
                <c:pt idx="0">
                  <c:v>1</c:v>
                </c:pt>
                <c:pt idx="1">
                  <c:v>0.90909090909090906</c:v>
                </c:pt>
                <c:pt idx="2">
                  <c:v>0.81818181818181823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F-442D-9ECD-F577EF3E1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24"/>
        <c:axId val="34922591"/>
        <c:axId val="34925471"/>
      </c:barChart>
      <c:catAx>
        <c:axId val="3492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5471"/>
        <c:crosses val="autoZero"/>
        <c:auto val="1"/>
        <c:lblAlgn val="ctr"/>
        <c:lblOffset val="100"/>
        <c:noMultiLvlLbl val="0"/>
      </c:catAx>
      <c:valAx>
        <c:axId val="349254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2591"/>
        <c:crosses val="autoZero"/>
        <c:crossBetween val="between"/>
        <c:majorUnit val="0.2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21772</xdr:colOff>
      <xdr:row>0</xdr:row>
      <xdr:rowOff>403226</xdr:rowOff>
    </xdr:from>
    <xdr:to>
      <xdr:col>4</xdr:col>
      <xdr:colOff>478972</xdr:colOff>
      <xdr:row>1</xdr:row>
      <xdr:rowOff>497115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7B29DD-41BF-4D04-8C9A-E4DE36401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2" y="403226"/>
          <a:ext cx="5192486" cy="597353"/>
        </a:xfrm>
        <a:prstGeom prst="rect">
          <a:avLst/>
        </a:prstGeom>
      </xdr:spPr>
    </xdr:pic>
    <xdr:clientData/>
  </xdr:twoCellAnchor>
  <xdr:twoCellAnchor>
    <xdr:from>
      <xdr:col>4</xdr:col>
      <xdr:colOff>476250</xdr:colOff>
      <xdr:row>4</xdr:row>
      <xdr:rowOff>127000</xdr:rowOff>
    </xdr:from>
    <xdr:to>
      <xdr:col>21</xdr:col>
      <xdr:colOff>0</xdr:colOff>
      <xdr:row>4</xdr:row>
      <xdr:rowOff>158750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F37200-9AAA-432E-B7A7-7354DA75B2FF}"/>
            </a:ext>
          </a:extLst>
        </xdr:cNvPr>
        <xdr:cNvCxnSpPr>
          <a:cxnSpLocks/>
        </xdr:cNvCxnSpPr>
      </xdr:nvCxnSpPr>
      <xdr:spPr>
        <a:xfrm>
          <a:off x="5191125" y="2159000"/>
          <a:ext cx="16113125" cy="31750"/>
        </a:xfrm>
        <a:prstGeom prst="line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1076497</xdr:colOff>
      <xdr:row>4</xdr:row>
      <xdr:rowOff>108951</xdr:rowOff>
    </xdr:from>
    <xdr:to>
      <xdr:col>14</xdr:col>
      <xdr:colOff>1207464</xdr:colOff>
      <xdr:row>5</xdr:row>
      <xdr:rowOff>0</xdr:rowOff>
    </xdr:to>
    <xdr:sp macro="" textlink="">
      <xdr:nvSpPr>
        <xdr:cNvPr id="7" name="TextBox 133">
          <a:extLst>
            <a:ext uri="{FF2B5EF4-FFF2-40B4-BE49-F238E27FC236}">
              <a16:creationId xmlns:a16="http://schemas.microsoft.com/office/drawing/2014/main" id="{5EF1F9BF-49F3-406F-90D3-6EFD38783E32}"/>
            </a:ext>
          </a:extLst>
        </xdr:cNvPr>
        <xdr:cNvSpPr txBox="1"/>
      </xdr:nvSpPr>
      <xdr:spPr>
        <a:xfrm>
          <a:off x="8601247" y="2394951"/>
          <a:ext cx="9243217" cy="304058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r>
            <a:rPr lang="en-US" altLang="ja-JP" sz="1000" b="1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Continuous Activity: Bronze &amp; Silver qualification – GCC. </a:t>
          </a:r>
          <a:r>
            <a:rPr lang="en-US" altLang="ja-JP" sz="1000" b="1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Target:</a:t>
          </a:r>
          <a:r>
            <a:rPr lang="en-US" altLang="ja-JP" sz="1000" b="1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 100% Achievement</a:t>
          </a:r>
          <a:endParaRPr lang="en-US" sz="1000" b="1">
            <a:solidFill>
              <a:schemeClr val="accent2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142875</xdr:colOff>
      <xdr:row>5</xdr:row>
      <xdr:rowOff>118477</xdr:rowOff>
    </xdr:from>
    <xdr:to>
      <xdr:col>15</xdr:col>
      <xdr:colOff>396875</xdr:colOff>
      <xdr:row>5</xdr:row>
      <xdr:rowOff>422535</xdr:rowOff>
    </xdr:to>
    <xdr:sp macro="" textlink="">
      <xdr:nvSpPr>
        <xdr:cNvPr id="11" name="TextBox 133">
          <a:extLst>
            <a:ext uri="{FF2B5EF4-FFF2-40B4-BE49-F238E27FC236}">
              <a16:creationId xmlns:a16="http://schemas.microsoft.com/office/drawing/2014/main" id="{EBD2759C-84E8-4D3C-9434-5D7C536B8F98}"/>
            </a:ext>
          </a:extLst>
        </xdr:cNvPr>
        <xdr:cNvSpPr txBox="1"/>
      </xdr:nvSpPr>
      <xdr:spPr>
        <a:xfrm>
          <a:off x="6365875" y="3198227"/>
          <a:ext cx="12033250" cy="304058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defTabSz="914400">
            <a:defRPr/>
          </a:pPr>
          <a:r>
            <a:rPr lang="en-US" sz="1000" b="1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All frontliners</a:t>
          </a:r>
          <a:r>
            <a:rPr lang="en-US" sz="1000" b="1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are required to complete this course, regular schedule is shared by AATC Operation to UAE business. Please reach out for any queries.</a:t>
          </a:r>
          <a:endParaRPr lang="en-US" sz="1000" b="1">
            <a:solidFill>
              <a:schemeClr val="accent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333375</xdr:colOff>
      <xdr:row>16</xdr:row>
      <xdr:rowOff>206375</xdr:rowOff>
    </xdr:from>
    <xdr:to>
      <xdr:col>21</xdr:col>
      <xdr:colOff>0</xdr:colOff>
      <xdr:row>16</xdr:row>
      <xdr:rowOff>263525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BCFF66C-5A6C-4E07-AF43-3DF42745B65B}"/>
            </a:ext>
          </a:extLst>
        </xdr:cNvPr>
        <xdr:cNvCxnSpPr>
          <a:cxnSpLocks/>
        </xdr:cNvCxnSpPr>
      </xdr:nvCxnSpPr>
      <xdr:spPr>
        <a:xfrm>
          <a:off x="10461625" y="6746875"/>
          <a:ext cx="10836275" cy="57150"/>
        </a:xfrm>
        <a:prstGeom prst="line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752647</xdr:colOff>
      <xdr:row>16</xdr:row>
      <xdr:rowOff>213726</xdr:rowOff>
    </xdr:from>
    <xdr:to>
      <xdr:col>18</xdr:col>
      <xdr:colOff>820114</xdr:colOff>
      <xdr:row>17</xdr:row>
      <xdr:rowOff>9784</xdr:rowOff>
    </xdr:to>
    <xdr:sp macro="" textlink="">
      <xdr:nvSpPr>
        <xdr:cNvPr id="14" name="TextBox 133">
          <a:extLst>
            <a:ext uri="{FF2B5EF4-FFF2-40B4-BE49-F238E27FC236}">
              <a16:creationId xmlns:a16="http://schemas.microsoft.com/office/drawing/2014/main" id="{EE25463E-490C-40FF-BAEE-132131F0BCA6}"/>
            </a:ext>
          </a:extLst>
        </xdr:cNvPr>
        <xdr:cNvSpPr txBox="1"/>
      </xdr:nvSpPr>
      <xdr:spPr>
        <a:xfrm>
          <a:off x="13484397" y="6754226"/>
          <a:ext cx="9243217" cy="304058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r>
            <a:rPr lang="en-US" sz="1000" b="1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Monthly</a:t>
          </a:r>
          <a:r>
            <a:rPr lang="en-US" sz="1000" b="1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 Activity</a:t>
          </a:r>
          <a:endParaRPr lang="en-US" sz="1000" b="1">
            <a:solidFill>
              <a:schemeClr val="accent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262759</xdr:colOff>
      <xdr:row>27</xdr:row>
      <xdr:rowOff>158750</xdr:rowOff>
    </xdr:from>
    <xdr:to>
      <xdr:col>21</xdr:col>
      <xdr:colOff>0</xdr:colOff>
      <xdr:row>27</xdr:row>
      <xdr:rowOff>164224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60702D9-E2D1-4F64-B713-99AF8FA38022}"/>
            </a:ext>
          </a:extLst>
        </xdr:cNvPr>
        <xdr:cNvCxnSpPr>
          <a:cxnSpLocks/>
        </xdr:cNvCxnSpPr>
      </xdr:nvCxnSpPr>
      <xdr:spPr>
        <a:xfrm flipV="1">
          <a:off x="7964871" y="17451552"/>
          <a:ext cx="17177845" cy="5474"/>
        </a:xfrm>
        <a:prstGeom prst="line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1076497</xdr:colOff>
      <xdr:row>27</xdr:row>
      <xdr:rowOff>108951</xdr:rowOff>
    </xdr:from>
    <xdr:to>
      <xdr:col>14</xdr:col>
      <xdr:colOff>1207464</xdr:colOff>
      <xdr:row>28</xdr:row>
      <xdr:rowOff>0</xdr:rowOff>
    </xdr:to>
    <xdr:sp macro="" textlink="">
      <xdr:nvSpPr>
        <xdr:cNvPr id="5" name="TextBox 133">
          <a:extLst>
            <a:ext uri="{FF2B5EF4-FFF2-40B4-BE49-F238E27FC236}">
              <a16:creationId xmlns:a16="http://schemas.microsoft.com/office/drawing/2014/main" id="{7818C83A-3B60-4B5D-AC74-EC2530782767}"/>
            </a:ext>
          </a:extLst>
        </xdr:cNvPr>
        <xdr:cNvSpPr txBox="1"/>
      </xdr:nvSpPr>
      <xdr:spPr>
        <a:xfrm>
          <a:off x="8267872" y="2385426"/>
          <a:ext cx="8913017" cy="691149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r>
            <a:rPr lang="en-US" altLang="ja-JP" sz="1000" b="1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Continuous Activity. </a:t>
          </a:r>
          <a:r>
            <a:rPr lang="en-US" altLang="ja-JP" sz="1000" b="1" kern="1200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  <a:sym typeface="Wingdings 3" panose="05040102010807070707" pitchFamily="18" charset="2"/>
            </a:rPr>
            <a:t>UAE/QATAR/OMAN-Target</a:t>
          </a:r>
          <a:r>
            <a:rPr lang="en-US" altLang="ja-JP" sz="1000" b="1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:</a:t>
          </a:r>
          <a:r>
            <a:rPr lang="en-US" altLang="ja-JP" sz="1000" b="1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  <a:sym typeface="Wingdings 3" panose="05040102010807070707" pitchFamily="18" charset="2"/>
            </a:rPr>
            <a:t> 100% Achievement</a:t>
          </a:r>
          <a:endParaRPr lang="en-US" sz="1000" b="1">
            <a:solidFill>
              <a:schemeClr val="accent2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204</xdr:col>
      <xdr:colOff>0</xdr:colOff>
      <xdr:row>28</xdr:row>
      <xdr:rowOff>127000</xdr:rowOff>
    </xdr:from>
    <xdr:to>
      <xdr:col>232</xdr:col>
      <xdr:colOff>25400</xdr:colOff>
      <xdr:row>29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AD9D5FA-85F6-425E-B0DC-9989B498290E}"/>
            </a:ext>
          </a:extLst>
        </xdr:cNvPr>
        <xdr:cNvCxnSpPr/>
      </xdr:nvCxnSpPr>
      <xdr:spPr>
        <a:xfrm>
          <a:off x="31203900" y="3708400"/>
          <a:ext cx="825500" cy="37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0</xdr:colOff>
      <xdr:row>30</xdr:row>
      <xdr:rowOff>127000</xdr:rowOff>
    </xdr:from>
    <xdr:to>
      <xdr:col>232</xdr:col>
      <xdr:colOff>25400</xdr:colOff>
      <xdr:row>31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FD93B6B-3B58-40A0-AAC5-200153B3CF3E}"/>
            </a:ext>
          </a:extLst>
        </xdr:cNvPr>
        <xdr:cNvCxnSpPr/>
      </xdr:nvCxnSpPr>
      <xdr:spPr>
        <a:xfrm>
          <a:off x="31203900" y="4718050"/>
          <a:ext cx="825500" cy="37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1374942</xdr:colOff>
      <xdr:row>10</xdr:row>
      <xdr:rowOff>160403</xdr:rowOff>
    </xdr:from>
    <xdr:to>
      <xdr:col>17</xdr:col>
      <xdr:colOff>589644</xdr:colOff>
      <xdr:row>30</xdr:row>
      <xdr:rowOff>9072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080F7-1E6B-EBB4-63E2-31A007653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tma Alsagaf" id="{CD0A49F2-A037-444B-8D8B-0954814A8C8A}" userId="S::Fatma.Alsagaf@alfuttaim.com::ef587b5e-378a-4bb3-aa9f-3c15b98138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9" dT="2025-05-05T12:25:49.44" personId="{CD0A49F2-A037-444B-8D8B-0954814A8C8A}" id="{CC2BA371-1CFE-4E03-ADDE-F2F17768AF77}">
    <text>MY26 model year change in UAE in August. Qatar will directly get the MY26(not in Aug anymore - there is a delay (dates to be confirmed)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ulrez.khan@alfuttaim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atherine.yuson@alfuttaim.com" TargetMode="External"/><Relationship Id="rId1" Type="http://schemas.openxmlformats.org/officeDocument/2006/relationships/hyperlink" Target="mailto:moez.bennani@alfuttaim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aglaa.Alrweny@alfuttaim.com" TargetMode="External"/><Relationship Id="rId2" Type="http://schemas.openxmlformats.org/officeDocument/2006/relationships/hyperlink" Target="mailto:Mohamad.Zaarour@alfuttaim.com" TargetMode="External"/><Relationship Id="rId1" Type="http://schemas.openxmlformats.org/officeDocument/2006/relationships/hyperlink" Target="mailto:Abdelrahman.Abueida2@alfuttaim.com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Mohamed.Yousry2@alfuttaim.com" TargetMode="External"/><Relationship Id="rId4" Type="http://schemas.openxmlformats.org/officeDocument/2006/relationships/hyperlink" Target="mailto:Shahidnoor.Bukhari@alfuttaim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jibin.johny@alfuttaim.com" TargetMode="External"/><Relationship Id="rId13" Type="http://schemas.openxmlformats.org/officeDocument/2006/relationships/printerSettings" Target="../printerSettings/printerSettings6.bin"/><Relationship Id="rId3" Type="http://schemas.openxmlformats.org/officeDocument/2006/relationships/hyperlink" Target="mailto:catherine.yuson@alfuttaim.com" TargetMode="External"/><Relationship Id="rId7" Type="http://schemas.openxmlformats.org/officeDocument/2006/relationships/hyperlink" Target="mailto:jibin.johny@alfuttaim.com" TargetMode="External"/><Relationship Id="rId12" Type="http://schemas.openxmlformats.org/officeDocument/2006/relationships/hyperlink" Target="mailto:shamsudheen.valappil@alfuttaim.com" TargetMode="External"/><Relationship Id="rId2" Type="http://schemas.openxmlformats.org/officeDocument/2006/relationships/hyperlink" Target="mailto:moez.bennani@alfuttaim.com" TargetMode="External"/><Relationship Id="rId1" Type="http://schemas.openxmlformats.org/officeDocument/2006/relationships/hyperlink" Target="mailto:catherine.yuson@alfuttaim.com" TargetMode="External"/><Relationship Id="rId6" Type="http://schemas.openxmlformats.org/officeDocument/2006/relationships/hyperlink" Target="mailto:naima.jaber@alfuttaim.com" TargetMode="External"/><Relationship Id="rId11" Type="http://schemas.openxmlformats.org/officeDocument/2006/relationships/hyperlink" Target="mailto:shamsudheen.valappil@alfuttaim.com" TargetMode="External"/><Relationship Id="rId5" Type="http://schemas.openxmlformats.org/officeDocument/2006/relationships/hyperlink" Target="mailto:naima.jaber@alfuttaim.com" TargetMode="External"/><Relationship Id="rId10" Type="http://schemas.openxmlformats.org/officeDocument/2006/relationships/hyperlink" Target="mailto:Benz.Geevarghese@alfuttaim.com" TargetMode="External"/><Relationship Id="rId4" Type="http://schemas.openxmlformats.org/officeDocument/2006/relationships/hyperlink" Target="mailto:moez.bennani@alfuttaim.com" TargetMode="External"/><Relationship Id="rId9" Type="http://schemas.openxmlformats.org/officeDocument/2006/relationships/hyperlink" Target="mailto:Benz.Geevarghese@alfuttaim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naima.jaber@alfuttaim.com" TargetMode="External"/><Relationship Id="rId3" Type="http://schemas.openxmlformats.org/officeDocument/2006/relationships/hyperlink" Target="mailto:moez.bennani@alfuttaim.com" TargetMode="External"/><Relationship Id="rId7" Type="http://schemas.openxmlformats.org/officeDocument/2006/relationships/hyperlink" Target="mailto:moez.bennani@alfuttaim.com" TargetMode="External"/><Relationship Id="rId2" Type="http://schemas.openxmlformats.org/officeDocument/2006/relationships/hyperlink" Target="mailto:catherine.yuson@alfuttaim.com" TargetMode="External"/><Relationship Id="rId1" Type="http://schemas.openxmlformats.org/officeDocument/2006/relationships/hyperlink" Target="mailto:slim.jatlawi@alfuttaim.com" TargetMode="External"/><Relationship Id="rId6" Type="http://schemas.openxmlformats.org/officeDocument/2006/relationships/hyperlink" Target="mailto:catherine.yuson@alfuttaim.com" TargetMode="External"/><Relationship Id="rId11" Type="http://schemas.openxmlformats.org/officeDocument/2006/relationships/printerSettings" Target="../printerSettings/printerSettings8.bin"/><Relationship Id="rId5" Type="http://schemas.openxmlformats.org/officeDocument/2006/relationships/hyperlink" Target="mailto:Benz.Geevarghese@alfuttaim.com" TargetMode="External"/><Relationship Id="rId10" Type="http://schemas.openxmlformats.org/officeDocument/2006/relationships/hyperlink" Target="mailto:shamsudheen.valappil@alfuttaim.com" TargetMode="External"/><Relationship Id="rId4" Type="http://schemas.openxmlformats.org/officeDocument/2006/relationships/hyperlink" Target="mailto:naima.jaber@alfuttaim.com" TargetMode="External"/><Relationship Id="rId9" Type="http://schemas.openxmlformats.org/officeDocument/2006/relationships/hyperlink" Target="mailto:Benz.Geevarghese@alfutta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  <pageSetUpPr fitToPage="1"/>
  </sheetPr>
  <dimension ref="A1:W32"/>
  <sheetViews>
    <sheetView showGridLines="0" tabSelected="1" topLeftCell="C1" zoomScale="40" zoomScaleNormal="40" zoomScaleSheetLayoutView="55" workbookViewId="0">
      <pane ySplit="4" topLeftCell="A5" activePane="bottomLeft" state="frozen"/>
      <selection activeCell="C1" sqref="C1"/>
      <selection pane="bottomLeft" activeCell="F13" sqref="F13"/>
    </sheetView>
  </sheetViews>
  <sheetFormatPr defaultColWidth="0.453125" defaultRowHeight="40.25" customHeight="1"/>
  <cols>
    <col min="1" max="1" width="20.54296875" style="3" hidden="1" customWidth="1"/>
    <col min="2" max="2" width="31.453125" style="19" hidden="1" customWidth="1"/>
    <col min="3" max="3" width="46.453125" style="20" customWidth="1"/>
    <col min="4" max="4" width="21.36328125" style="19" customWidth="1"/>
    <col min="5" max="5" width="21.54296875" style="21" customWidth="1"/>
    <col min="6" max="6" width="26" style="21" bestFit="1" customWidth="1"/>
    <col min="7" max="11" width="18.54296875" style="22" customWidth="1"/>
    <col min="12" max="12" width="19.6328125" style="23" customWidth="1"/>
    <col min="13" max="13" width="18.54296875" style="22" customWidth="1"/>
    <col min="14" max="14" width="20.90625" style="22" bestFit="1" customWidth="1"/>
    <col min="15" max="15" width="19.453125" style="22" customWidth="1"/>
    <col min="16" max="16" width="18.6328125" style="22" customWidth="1"/>
    <col min="17" max="21" width="18.54296875" style="22" customWidth="1"/>
    <col min="22" max="22" width="18.54296875" style="27" hidden="1" customWidth="1"/>
    <col min="23" max="23" width="18.54296875" style="26" hidden="1" customWidth="1"/>
    <col min="24" max="24" width="0.453125" style="3" customWidth="1"/>
    <col min="25" max="25" width="0.453125" style="3"/>
    <col min="26" max="26" width="0.453125" style="3" customWidth="1"/>
    <col min="27" max="30" width="0.453125" style="3"/>
    <col min="31" max="32" width="0.453125" style="3" customWidth="1"/>
    <col min="33" max="33" width="19.54296875" style="3" customWidth="1"/>
    <col min="34" max="49" width="0.453125" style="3"/>
    <col min="50" max="50" width="1" style="3" customWidth="1"/>
    <col min="51" max="16384" width="0.453125" style="3"/>
  </cols>
  <sheetData>
    <row r="1" spans="1:23" ht="40.25" customHeight="1" thickBot="1">
      <c r="A1" s="1"/>
      <c r="B1" s="2"/>
      <c r="C1" s="241"/>
      <c r="D1" s="242"/>
      <c r="E1" s="243"/>
      <c r="F1" s="243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</row>
    <row r="2" spans="1:23" s="7" customFormat="1" ht="40.25" customHeight="1">
      <c r="A2" s="4"/>
      <c r="B2" s="5"/>
      <c r="C2" s="359" t="s">
        <v>0</v>
      </c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6"/>
      <c r="W2" s="30"/>
    </row>
    <row r="3" spans="1:23" ht="40.25" customHeight="1" thickBot="1">
      <c r="A3" s="8"/>
      <c r="B3" s="9"/>
      <c r="C3" s="10"/>
      <c r="D3" s="9"/>
      <c r="E3" s="11"/>
      <c r="F3" s="11"/>
      <c r="G3" s="11"/>
      <c r="H3" s="11"/>
      <c r="I3" s="25" t="s">
        <v>1</v>
      </c>
      <c r="J3" s="12"/>
      <c r="K3" s="13" t="s">
        <v>2</v>
      </c>
      <c r="L3" s="14">
        <v>0</v>
      </c>
      <c r="M3" s="13" t="s">
        <v>3</v>
      </c>
      <c r="N3" s="358">
        <f ca="1">NOW()</f>
        <v>45960.370603356481</v>
      </c>
      <c r="O3" s="358"/>
      <c r="P3" s="12"/>
      <c r="Q3" s="12"/>
      <c r="R3" s="12"/>
      <c r="S3" s="12"/>
      <c r="T3" s="12"/>
      <c r="U3" s="12"/>
      <c r="V3" s="12"/>
      <c r="W3" s="31"/>
    </row>
    <row r="4" spans="1:23" s="17" customFormat="1" ht="60" customHeight="1">
      <c r="A4" s="15" t="s">
        <v>4</v>
      </c>
      <c r="B4" s="16" t="s">
        <v>5</v>
      </c>
      <c r="C4" s="47" t="s">
        <v>6</v>
      </c>
      <c r="D4" s="47" t="s">
        <v>7</v>
      </c>
      <c r="E4" s="48" t="s">
        <v>8</v>
      </c>
      <c r="F4" s="48" t="s">
        <v>337</v>
      </c>
      <c r="G4" s="49" t="s">
        <v>9</v>
      </c>
      <c r="H4" s="49" t="s">
        <v>10</v>
      </c>
      <c r="I4" s="49" t="s">
        <v>11</v>
      </c>
      <c r="J4" s="141" t="s">
        <v>12</v>
      </c>
      <c r="K4" s="49" t="s">
        <v>13</v>
      </c>
      <c r="L4" s="50" t="s">
        <v>14</v>
      </c>
      <c r="M4" s="51" t="s">
        <v>15</v>
      </c>
      <c r="N4" s="50" t="s">
        <v>16</v>
      </c>
      <c r="O4" s="51" t="s">
        <v>17</v>
      </c>
      <c r="P4" s="51" t="s">
        <v>18</v>
      </c>
      <c r="Q4" s="51" t="s">
        <v>19</v>
      </c>
      <c r="R4" s="49" t="s">
        <v>20</v>
      </c>
      <c r="S4" s="51" t="s">
        <v>9</v>
      </c>
      <c r="T4" s="50" t="s">
        <v>10</v>
      </c>
      <c r="U4" s="51" t="s">
        <v>11</v>
      </c>
      <c r="V4" s="28" t="s">
        <v>21</v>
      </c>
      <c r="W4" s="29" t="s">
        <v>22</v>
      </c>
    </row>
    <row r="5" spans="1:23" s="17" customFormat="1" ht="33">
      <c r="A5" s="74"/>
      <c r="B5" s="75"/>
      <c r="C5" s="109" t="s">
        <v>23</v>
      </c>
      <c r="D5" s="137" t="s">
        <v>24</v>
      </c>
      <c r="E5" s="138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28"/>
      <c r="W5" s="29"/>
    </row>
    <row r="6" spans="1:23" s="17" customFormat="1" ht="40.25" customHeight="1">
      <c r="A6" s="74"/>
      <c r="B6" s="75"/>
      <c r="C6" s="109" t="s">
        <v>25</v>
      </c>
      <c r="D6" s="116" t="s">
        <v>26</v>
      </c>
      <c r="E6" s="129" t="s">
        <v>27</v>
      </c>
      <c r="F6" s="129" t="s">
        <v>371</v>
      </c>
      <c r="G6" s="177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9"/>
      <c r="V6" s="28"/>
      <c r="W6" s="29"/>
    </row>
    <row r="7" spans="1:23" s="18" customFormat="1" ht="58.5" customHeight="1">
      <c r="A7" s="66"/>
      <c r="B7" s="67"/>
      <c r="C7" s="215" t="s">
        <v>28</v>
      </c>
      <c r="D7" s="117" t="s">
        <v>29</v>
      </c>
      <c r="E7" s="129" t="s">
        <v>30</v>
      </c>
      <c r="F7" s="119" t="s">
        <v>348</v>
      </c>
      <c r="G7" s="189" t="s">
        <v>31</v>
      </c>
      <c r="H7" s="119"/>
      <c r="I7" s="120"/>
      <c r="J7" s="121"/>
      <c r="K7" s="122"/>
      <c r="L7" s="182" t="s">
        <v>333</v>
      </c>
      <c r="M7" s="122"/>
      <c r="N7" s="122" t="s">
        <v>32</v>
      </c>
      <c r="O7" s="122"/>
      <c r="P7" s="124"/>
      <c r="Q7" s="122" t="s">
        <v>32</v>
      </c>
      <c r="R7" s="122"/>
      <c r="S7" s="122"/>
      <c r="T7" s="18" t="s">
        <v>33</v>
      </c>
      <c r="U7" s="122"/>
      <c r="V7" s="68"/>
      <c r="W7" s="68"/>
    </row>
    <row r="8" spans="1:23" s="18" customFormat="1" ht="40.25" customHeight="1">
      <c r="A8" s="66"/>
      <c r="B8" s="67"/>
      <c r="C8" s="104" t="s">
        <v>34</v>
      </c>
      <c r="D8" s="125" t="s">
        <v>35</v>
      </c>
      <c r="E8" s="118"/>
      <c r="F8" s="119" t="s">
        <v>348</v>
      </c>
      <c r="G8" s="126"/>
      <c r="H8" s="189" t="s">
        <v>36</v>
      </c>
      <c r="I8" s="120"/>
      <c r="J8" s="121"/>
      <c r="K8" s="122"/>
      <c r="L8" s="123"/>
      <c r="M8" s="122"/>
      <c r="N8" s="122"/>
      <c r="O8" s="122"/>
      <c r="P8" s="127"/>
      <c r="Q8" s="122"/>
      <c r="R8" s="122"/>
      <c r="S8" s="121"/>
      <c r="T8" s="184"/>
      <c r="U8" s="123"/>
      <c r="V8" s="68"/>
      <c r="W8" s="68"/>
    </row>
    <row r="9" spans="1:23" s="18" customFormat="1" ht="40.25" customHeight="1">
      <c r="A9" s="66"/>
      <c r="B9" s="67"/>
      <c r="C9" s="107" t="s">
        <v>37</v>
      </c>
      <c r="D9" s="128" t="s">
        <v>29</v>
      </c>
      <c r="E9" s="129" t="s">
        <v>38</v>
      </c>
      <c r="F9" s="119" t="s">
        <v>348</v>
      </c>
      <c r="G9" s="129"/>
      <c r="H9" s="187" t="s">
        <v>39</v>
      </c>
      <c r="I9" s="129"/>
      <c r="J9" s="187" t="s">
        <v>40</v>
      </c>
      <c r="K9" s="129"/>
      <c r="L9" s="129"/>
      <c r="M9" s="129"/>
      <c r="N9" s="129"/>
      <c r="O9" s="129"/>
      <c r="P9" s="129"/>
      <c r="Q9" s="129"/>
      <c r="R9" s="129"/>
      <c r="S9" s="129"/>
      <c r="T9" s="183"/>
      <c r="U9" s="129"/>
      <c r="V9" s="68"/>
      <c r="W9" s="68"/>
    </row>
    <row r="10" spans="1:23" s="18" customFormat="1" ht="40.25" customHeight="1">
      <c r="A10" s="66"/>
      <c r="B10" s="67"/>
      <c r="C10" s="107" t="s">
        <v>41</v>
      </c>
      <c r="D10" s="130" t="s">
        <v>29</v>
      </c>
      <c r="E10" s="129" t="s">
        <v>38</v>
      </c>
      <c r="F10" s="119" t="s">
        <v>348</v>
      </c>
      <c r="G10" s="132"/>
      <c r="H10" s="132"/>
      <c r="I10" s="133"/>
      <c r="J10" s="188" t="s">
        <v>42</v>
      </c>
      <c r="K10" s="127"/>
      <c r="L10" s="127"/>
      <c r="M10" s="127"/>
      <c r="N10" s="127"/>
      <c r="O10" s="127"/>
      <c r="P10" s="134"/>
      <c r="Q10" s="127"/>
      <c r="R10" s="127"/>
      <c r="S10" s="127"/>
      <c r="T10" s="127"/>
      <c r="U10" s="127"/>
      <c r="V10" s="68"/>
      <c r="W10" s="68"/>
    </row>
    <row r="11" spans="1:23" s="18" customFormat="1" ht="56.15" customHeight="1">
      <c r="A11" s="66"/>
      <c r="B11" s="67"/>
      <c r="C11" s="107" t="s">
        <v>43</v>
      </c>
      <c r="D11" s="130" t="s">
        <v>29</v>
      </c>
      <c r="E11" s="129" t="s">
        <v>38</v>
      </c>
      <c r="F11" s="119" t="s">
        <v>348</v>
      </c>
      <c r="G11" s="132"/>
      <c r="H11" s="132"/>
      <c r="I11" s="133"/>
      <c r="J11" s="127"/>
      <c r="K11" s="127"/>
      <c r="L11" s="127"/>
      <c r="M11" s="127"/>
      <c r="N11" s="166" t="s">
        <v>33</v>
      </c>
      <c r="O11" s="127"/>
      <c r="P11" s="134"/>
      <c r="Q11" s="127"/>
      <c r="R11" s="127"/>
      <c r="S11" s="127"/>
      <c r="T11" s="127"/>
      <c r="U11" s="127"/>
      <c r="V11" s="68"/>
      <c r="W11" s="68"/>
    </row>
    <row r="12" spans="1:23" s="18" customFormat="1" ht="44.5">
      <c r="A12" s="66"/>
      <c r="B12" s="67"/>
      <c r="C12" s="107" t="s">
        <v>44</v>
      </c>
      <c r="D12" s="130" t="s">
        <v>29</v>
      </c>
      <c r="E12" s="129" t="s">
        <v>38</v>
      </c>
      <c r="F12" s="119" t="s">
        <v>348</v>
      </c>
      <c r="G12" s="132"/>
      <c r="H12" s="132"/>
      <c r="I12" s="133"/>
      <c r="J12" s="166"/>
      <c r="K12" s="127"/>
      <c r="L12" s="127"/>
      <c r="M12" s="127"/>
      <c r="N12" s="127"/>
      <c r="O12" s="127"/>
      <c r="P12" s="134"/>
      <c r="Q12" s="166" t="s">
        <v>33</v>
      </c>
      <c r="R12" s="127"/>
      <c r="S12" s="127"/>
      <c r="T12" s="127"/>
      <c r="U12" s="127"/>
      <c r="V12" s="68"/>
      <c r="W12" s="68"/>
    </row>
    <row r="13" spans="1:23" s="18" customFormat="1" ht="44.5">
      <c r="A13" s="66"/>
      <c r="B13" s="67"/>
      <c r="C13" s="107" t="s">
        <v>45</v>
      </c>
      <c r="D13" s="130" t="s">
        <v>29</v>
      </c>
      <c r="E13" s="129" t="s">
        <v>38</v>
      </c>
      <c r="F13" s="119" t="s">
        <v>348</v>
      </c>
      <c r="G13" s="132"/>
      <c r="H13" s="132"/>
      <c r="I13" s="133"/>
      <c r="J13" s="166"/>
      <c r="K13" s="127"/>
      <c r="L13" s="127"/>
      <c r="M13" s="127"/>
      <c r="N13" s="127"/>
      <c r="O13" s="127"/>
      <c r="P13" s="134"/>
      <c r="Q13" s="134"/>
      <c r="R13" s="127"/>
      <c r="S13" s="127"/>
      <c r="T13" s="166" t="s">
        <v>33</v>
      </c>
      <c r="U13" s="127"/>
      <c r="V13" s="68"/>
      <c r="W13" s="68"/>
    </row>
    <row r="14" spans="1:23" s="18" customFormat="1" ht="40.25" customHeight="1">
      <c r="A14" s="111"/>
      <c r="B14" s="68"/>
      <c r="C14" s="174" t="s">
        <v>46</v>
      </c>
      <c r="D14" s="128" t="s">
        <v>29</v>
      </c>
      <c r="E14" s="163"/>
      <c r="F14" s="119" t="s">
        <v>348</v>
      </c>
      <c r="G14" s="164"/>
      <c r="H14" s="164"/>
      <c r="I14" s="165"/>
      <c r="J14" s="166"/>
      <c r="K14" s="190" t="s">
        <v>332</v>
      </c>
      <c r="L14" s="166"/>
      <c r="M14" s="166"/>
      <c r="N14" s="166"/>
      <c r="O14" s="166"/>
      <c r="P14" s="168"/>
      <c r="Q14" s="166"/>
      <c r="R14" s="166"/>
      <c r="S14" s="166"/>
      <c r="T14" s="166"/>
      <c r="U14" s="166"/>
      <c r="V14" s="68"/>
      <c r="W14" s="68"/>
    </row>
    <row r="15" spans="1:23" s="18" customFormat="1" ht="77.400000000000006" customHeight="1">
      <c r="A15" s="111"/>
      <c r="B15" s="68"/>
      <c r="C15" s="175" t="s">
        <v>423</v>
      </c>
      <c r="D15" s="128" t="s">
        <v>29</v>
      </c>
      <c r="E15" s="163"/>
      <c r="F15" s="119" t="s">
        <v>348</v>
      </c>
      <c r="G15" s="164"/>
      <c r="H15" s="164"/>
      <c r="I15" s="165"/>
      <c r="J15" s="166"/>
      <c r="K15" s="166"/>
      <c r="L15" s="166"/>
      <c r="M15" s="167"/>
      <c r="N15" s="167"/>
      <c r="O15" s="167" t="s">
        <v>47</v>
      </c>
      <c r="P15" s="168"/>
      <c r="Q15" s="166"/>
      <c r="R15" s="166"/>
      <c r="S15" s="166"/>
      <c r="T15" s="166"/>
      <c r="U15" s="166"/>
      <c r="V15" s="68"/>
      <c r="W15" s="68"/>
    </row>
    <row r="16" spans="1:23" s="18" customFormat="1" ht="53">
      <c r="A16" s="111"/>
      <c r="B16" s="68"/>
      <c r="C16" s="143" t="s">
        <v>48</v>
      </c>
      <c r="D16" s="128" t="s">
        <v>29</v>
      </c>
      <c r="E16" s="163"/>
      <c r="F16" s="119" t="s">
        <v>348</v>
      </c>
      <c r="G16" s="164"/>
      <c r="H16" s="164"/>
      <c r="I16" s="165"/>
      <c r="J16" s="190" t="s">
        <v>49</v>
      </c>
      <c r="K16" s="165"/>
      <c r="L16" s="166"/>
      <c r="M16" s="167" t="s">
        <v>50</v>
      </c>
      <c r="N16" s="167"/>
      <c r="O16" s="166"/>
      <c r="P16" s="167" t="s">
        <v>51</v>
      </c>
      <c r="Q16" s="167"/>
      <c r="R16" s="166"/>
      <c r="S16" s="167" t="s">
        <v>52</v>
      </c>
      <c r="T16" s="181"/>
      <c r="U16" s="181" t="s">
        <v>53</v>
      </c>
      <c r="V16" s="68"/>
      <c r="W16" s="68"/>
    </row>
    <row r="17" spans="1:23" s="18" customFormat="1" ht="40.25" customHeight="1">
      <c r="A17" s="111"/>
      <c r="B17" s="68"/>
      <c r="C17" s="162" t="s">
        <v>54</v>
      </c>
      <c r="D17" s="130" t="s">
        <v>29</v>
      </c>
      <c r="E17" s="171"/>
      <c r="F17" s="171"/>
      <c r="G17" s="172"/>
      <c r="H17" s="172"/>
      <c r="I17" s="173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40"/>
      <c r="V17" s="68"/>
      <c r="W17" s="68"/>
    </row>
    <row r="18" spans="1:23" s="18" customFormat="1" ht="40.25" customHeight="1">
      <c r="A18" s="111"/>
      <c r="B18" s="68"/>
      <c r="C18" s="142" t="s">
        <v>55</v>
      </c>
      <c r="D18" s="128" t="s">
        <v>29</v>
      </c>
      <c r="E18" s="118"/>
      <c r="F18" s="119" t="s">
        <v>348</v>
      </c>
      <c r="G18" s="119"/>
      <c r="H18" s="119"/>
      <c r="I18" s="169"/>
      <c r="J18" s="170"/>
      <c r="K18" s="233" t="s">
        <v>331</v>
      </c>
      <c r="L18" s="170"/>
      <c r="M18" s="170"/>
      <c r="N18" s="170"/>
      <c r="O18" s="170"/>
      <c r="P18" s="170"/>
      <c r="Q18" s="170" t="s">
        <v>56</v>
      </c>
      <c r="R18" s="170"/>
      <c r="S18" s="170"/>
      <c r="T18" s="170"/>
      <c r="U18" s="170"/>
      <c r="V18" s="68"/>
      <c r="W18" s="68"/>
    </row>
    <row r="19" spans="1:23" s="17" customFormat="1" ht="92.75" customHeight="1">
      <c r="A19" s="74"/>
      <c r="B19" s="75"/>
      <c r="C19" s="110" t="s">
        <v>57</v>
      </c>
      <c r="D19" s="128" t="s">
        <v>29</v>
      </c>
      <c r="E19" s="129" t="s">
        <v>27</v>
      </c>
      <c r="F19" s="129" t="s">
        <v>371</v>
      </c>
      <c r="G19" s="129"/>
      <c r="H19" s="129"/>
      <c r="I19" s="129"/>
      <c r="J19" s="129"/>
      <c r="K19" s="180"/>
      <c r="L19" s="180" t="s">
        <v>427</v>
      </c>
      <c r="M19" s="274" t="s">
        <v>58</v>
      </c>
      <c r="N19" s="275" t="s">
        <v>59</v>
      </c>
      <c r="O19" s="180" t="s">
        <v>58</v>
      </c>
      <c r="P19" s="180" t="s">
        <v>61</v>
      </c>
      <c r="Q19" s="180"/>
      <c r="R19" s="129"/>
      <c r="S19" s="129"/>
      <c r="T19" s="129"/>
      <c r="U19" s="129"/>
      <c r="V19" s="28"/>
      <c r="W19" s="29"/>
    </row>
    <row r="20" spans="1:23" s="17" customFormat="1" ht="89.25" customHeight="1">
      <c r="A20" s="74"/>
      <c r="B20" s="75"/>
      <c r="C20" s="110" t="s">
        <v>60</v>
      </c>
      <c r="D20" s="128" t="s">
        <v>29</v>
      </c>
      <c r="E20" s="129" t="s">
        <v>27</v>
      </c>
      <c r="F20" s="129" t="s">
        <v>371</v>
      </c>
      <c r="G20" s="129"/>
      <c r="H20" s="129"/>
      <c r="I20" s="129"/>
      <c r="J20" s="196"/>
      <c r="K20" s="129"/>
      <c r="L20" s="180"/>
      <c r="M20" s="180"/>
      <c r="N20" s="180" t="s">
        <v>347</v>
      </c>
      <c r="O20" s="274" t="s">
        <v>58</v>
      </c>
      <c r="P20" s="274" t="s">
        <v>61</v>
      </c>
      <c r="Q20" s="180" t="s">
        <v>338</v>
      </c>
      <c r="R20" s="129"/>
      <c r="S20" s="325" t="s">
        <v>426</v>
      </c>
      <c r="T20" s="129"/>
      <c r="U20" s="129"/>
      <c r="V20" s="28"/>
      <c r="W20" s="29"/>
    </row>
    <row r="21" spans="1:23" s="18" customFormat="1" ht="67.25" customHeight="1">
      <c r="A21" s="66"/>
      <c r="B21" s="67"/>
      <c r="C21" s="110" t="s">
        <v>62</v>
      </c>
      <c r="D21" s="128" t="s">
        <v>29</v>
      </c>
      <c r="E21" s="129" t="s">
        <v>38</v>
      </c>
      <c r="F21" s="129" t="s">
        <v>371</v>
      </c>
      <c r="G21" s="129"/>
      <c r="H21" s="129"/>
      <c r="I21" s="194"/>
      <c r="J21" s="181"/>
      <c r="K21" s="195"/>
      <c r="L21" s="180"/>
      <c r="M21" s="180"/>
      <c r="N21" s="129" t="s">
        <v>63</v>
      </c>
      <c r="O21" s="274" t="s">
        <v>64</v>
      </c>
      <c r="P21" s="180" t="s">
        <v>391</v>
      </c>
      <c r="Q21" s="180" t="s">
        <v>339</v>
      </c>
      <c r="R21" s="129"/>
      <c r="S21" s="325" t="s">
        <v>426</v>
      </c>
      <c r="T21" s="129"/>
      <c r="U21" s="129"/>
      <c r="V21" s="68"/>
      <c r="W21" s="68"/>
    </row>
    <row r="22" spans="1:23" s="18" customFormat="1" ht="80" customHeight="1">
      <c r="A22" s="111"/>
      <c r="B22" s="68"/>
      <c r="C22" s="219" t="s">
        <v>316</v>
      </c>
      <c r="D22" s="128" t="s">
        <v>29</v>
      </c>
      <c r="E22" s="119" t="s">
        <v>65</v>
      </c>
      <c r="F22" s="119" t="s">
        <v>348</v>
      </c>
      <c r="G22" s="234"/>
      <c r="H22" s="119"/>
      <c r="I22" s="169"/>
      <c r="J22" s="170"/>
      <c r="K22" s="170"/>
      <c r="L22" s="180"/>
      <c r="M22" s="170"/>
      <c r="N22" s="180"/>
      <c r="O22" s="180"/>
      <c r="P22" s="170"/>
      <c r="Q22" s="180"/>
      <c r="R22" s="170"/>
      <c r="S22" s="170"/>
      <c r="T22" s="170"/>
      <c r="U22" s="170"/>
      <c r="V22" s="68"/>
      <c r="W22" s="68"/>
    </row>
    <row r="23" spans="1:23" s="18" customFormat="1" ht="87" customHeight="1">
      <c r="A23" s="66"/>
      <c r="B23" s="67"/>
      <c r="C23" s="110" t="s">
        <v>66</v>
      </c>
      <c r="D23" s="185" t="s">
        <v>29</v>
      </c>
      <c r="E23" s="194" t="s">
        <v>27</v>
      </c>
      <c r="F23" s="196" t="s">
        <v>371</v>
      </c>
      <c r="G23" s="314"/>
      <c r="H23" s="315"/>
      <c r="I23" s="315"/>
      <c r="J23" s="316"/>
      <c r="K23" s="317"/>
      <c r="L23" s="315"/>
      <c r="M23" s="318" t="s">
        <v>64</v>
      </c>
      <c r="N23" s="319" t="s">
        <v>67</v>
      </c>
      <c r="O23" s="320" t="s">
        <v>336</v>
      </c>
      <c r="P23" s="320" t="s">
        <v>385</v>
      </c>
      <c r="Q23" s="320"/>
      <c r="R23" s="317"/>
      <c r="S23" s="321"/>
      <c r="T23" s="317"/>
      <c r="U23" s="317"/>
      <c r="V23" s="68"/>
      <c r="W23" s="68"/>
    </row>
    <row r="24" spans="1:23" s="18" customFormat="1" ht="87" customHeight="1">
      <c r="A24" s="66"/>
      <c r="B24" s="67"/>
      <c r="C24" s="110" t="s">
        <v>424</v>
      </c>
      <c r="D24" s="185" t="s">
        <v>29</v>
      </c>
      <c r="E24" s="194" t="s">
        <v>425</v>
      </c>
      <c r="F24" s="235"/>
      <c r="G24" s="235"/>
      <c r="H24" s="235"/>
      <c r="I24" s="235"/>
      <c r="J24" s="235"/>
      <c r="K24" s="235"/>
      <c r="L24" s="235"/>
      <c r="M24" s="322"/>
      <c r="N24" s="323"/>
      <c r="O24" s="324"/>
      <c r="P24" s="324"/>
      <c r="Q24" s="325" t="s">
        <v>426</v>
      </c>
      <c r="R24" s="325" t="s">
        <v>426</v>
      </c>
      <c r="S24" s="324"/>
      <c r="T24" s="235"/>
      <c r="U24" s="235"/>
      <c r="V24" s="68"/>
      <c r="W24" s="68"/>
    </row>
    <row r="25" spans="1:23" s="18" customFormat="1" ht="79.75" customHeight="1">
      <c r="A25" s="66"/>
      <c r="B25" s="67"/>
      <c r="C25" s="105" t="s">
        <v>68</v>
      </c>
      <c r="D25" s="135" t="s">
        <v>69</v>
      </c>
      <c r="E25" s="131">
        <v>2</v>
      </c>
      <c r="F25" s="119" t="s">
        <v>348</v>
      </c>
      <c r="G25" s="119"/>
      <c r="H25" s="119"/>
      <c r="I25" s="120"/>
      <c r="J25" s="121"/>
      <c r="K25" s="122"/>
      <c r="L25" s="123"/>
      <c r="M25" s="122"/>
      <c r="N25" s="122"/>
      <c r="O25" s="122"/>
      <c r="P25" s="122"/>
      <c r="Q25" s="186" t="s">
        <v>70</v>
      </c>
      <c r="R25" s="122"/>
      <c r="S25" s="122"/>
      <c r="T25" s="122"/>
      <c r="U25" s="122"/>
      <c r="V25" s="68"/>
      <c r="W25" s="68"/>
    </row>
    <row r="26" spans="1:23" s="18" customFormat="1" ht="72" customHeight="1">
      <c r="A26" s="66"/>
      <c r="B26" s="67"/>
      <c r="C26" s="105" t="s">
        <v>71</v>
      </c>
      <c r="D26" s="135" t="s">
        <v>69</v>
      </c>
      <c r="E26" s="129" t="s">
        <v>27</v>
      </c>
      <c r="F26" s="119" t="s">
        <v>348</v>
      </c>
      <c r="G26" s="119"/>
      <c r="H26" s="119"/>
      <c r="I26" s="120"/>
      <c r="J26" s="121"/>
      <c r="K26" s="122"/>
      <c r="L26" s="123"/>
      <c r="M26" s="122"/>
      <c r="N26" s="122"/>
      <c r="O26" s="122"/>
      <c r="P26" s="122"/>
      <c r="Q26" s="180" t="s">
        <v>70</v>
      </c>
      <c r="R26" s="122"/>
      <c r="S26" s="122"/>
      <c r="T26" s="122"/>
      <c r="U26" s="122"/>
      <c r="V26" s="68"/>
      <c r="W26" s="68"/>
    </row>
    <row r="27" spans="1:23" s="18" customFormat="1" ht="40.25" customHeight="1">
      <c r="A27" s="66"/>
      <c r="B27" s="67"/>
      <c r="C27" s="106" t="s">
        <v>72</v>
      </c>
      <c r="D27" s="135" t="s">
        <v>69</v>
      </c>
      <c r="E27" s="129" t="s">
        <v>27</v>
      </c>
      <c r="F27" s="196" t="s">
        <v>371</v>
      </c>
      <c r="G27" s="119"/>
      <c r="H27" s="119"/>
      <c r="I27" s="120"/>
      <c r="J27" s="193" t="s">
        <v>73</v>
      </c>
      <c r="K27" s="192" t="s">
        <v>74</v>
      </c>
      <c r="L27" s="136"/>
      <c r="M27" s="122"/>
      <c r="N27" s="122"/>
      <c r="O27" s="122"/>
      <c r="P27" s="124"/>
      <c r="Q27" s="122"/>
      <c r="R27" s="122"/>
      <c r="S27" s="122"/>
      <c r="T27" s="122"/>
      <c r="U27" s="122"/>
      <c r="V27" s="68"/>
      <c r="W27" s="68"/>
    </row>
    <row r="28" spans="1:23" s="17" customFormat="1" ht="61">
      <c r="A28" s="74"/>
      <c r="B28" s="75"/>
      <c r="C28" s="109" t="s">
        <v>340</v>
      </c>
      <c r="D28" s="137" t="s">
        <v>24</v>
      </c>
      <c r="E28" s="138"/>
      <c r="F28" s="264" t="s">
        <v>341</v>
      </c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40"/>
      <c r="V28" s="28"/>
      <c r="W28" s="29"/>
    </row>
    <row r="29" spans="1:23" s="18" customFormat="1" ht="40.25" customHeight="1">
      <c r="A29" s="111"/>
      <c r="B29" s="68"/>
      <c r="C29" s="175" t="s">
        <v>342</v>
      </c>
      <c r="D29" s="116" t="s">
        <v>35</v>
      </c>
      <c r="E29" s="236" t="s">
        <v>38</v>
      </c>
      <c r="F29" s="264" t="s">
        <v>341</v>
      </c>
      <c r="G29" s="239"/>
      <c r="H29" s="237"/>
      <c r="I29" s="238"/>
      <c r="J29" s="184"/>
      <c r="K29" s="239"/>
      <c r="L29" s="180" t="s">
        <v>343</v>
      </c>
      <c r="M29" s="184"/>
      <c r="N29" s="184"/>
      <c r="O29" s="184"/>
      <c r="P29" s="240"/>
      <c r="Q29" s="184"/>
      <c r="R29" s="184"/>
      <c r="S29" s="184"/>
      <c r="T29" s="184"/>
      <c r="U29" s="184"/>
      <c r="V29" s="68"/>
      <c r="W29" s="68"/>
    </row>
    <row r="30" spans="1:23" s="18" customFormat="1" ht="40.25" customHeight="1">
      <c r="A30" s="111"/>
      <c r="B30" s="68"/>
      <c r="C30" s="175" t="s">
        <v>344</v>
      </c>
      <c r="D30" s="116" t="s">
        <v>29</v>
      </c>
      <c r="E30" s="236"/>
      <c r="F30" s="264" t="s">
        <v>341</v>
      </c>
      <c r="G30" s="239"/>
      <c r="H30" s="237"/>
      <c r="I30" s="238"/>
      <c r="J30" s="184"/>
      <c r="K30" s="239"/>
      <c r="L30" s="239" t="s">
        <v>47</v>
      </c>
      <c r="M30" s="184"/>
      <c r="N30" s="184"/>
      <c r="O30" s="184"/>
      <c r="P30" s="240"/>
      <c r="Q30" s="184"/>
      <c r="R30" s="184"/>
      <c r="S30" s="184"/>
      <c r="T30" s="184"/>
      <c r="U30" s="184"/>
      <c r="V30" s="68"/>
      <c r="W30" s="68"/>
    </row>
    <row r="31" spans="1:23" s="18" customFormat="1" ht="40.25" customHeight="1">
      <c r="A31" s="66"/>
      <c r="B31" s="67"/>
      <c r="C31" s="104" t="s">
        <v>345</v>
      </c>
      <c r="D31" s="125" t="s">
        <v>35</v>
      </c>
      <c r="E31" s="236"/>
      <c r="F31" s="264" t="s">
        <v>341</v>
      </c>
      <c r="G31" s="239"/>
      <c r="H31" s="237"/>
      <c r="I31" s="238"/>
      <c r="J31" s="184"/>
      <c r="K31" s="184"/>
      <c r="L31" s="184"/>
      <c r="M31" s="184"/>
      <c r="N31" s="184"/>
      <c r="O31" s="184"/>
      <c r="P31" s="184"/>
      <c r="Q31" s="184"/>
      <c r="R31" s="184" t="s">
        <v>346</v>
      </c>
      <c r="S31" s="184"/>
      <c r="T31" s="184"/>
      <c r="U31" s="184"/>
      <c r="V31" s="68"/>
      <c r="W31" s="68"/>
    </row>
    <row r="32" spans="1:23" s="18" customFormat="1" ht="40.25" customHeight="1">
      <c r="A32" s="111"/>
      <c r="B32" s="68"/>
      <c r="C32" s="175" t="s">
        <v>422</v>
      </c>
      <c r="D32" s="245" t="s">
        <v>29</v>
      </c>
      <c r="E32" s="129"/>
      <c r="F32" s="119" t="s">
        <v>348</v>
      </c>
      <c r="G32" s="239"/>
      <c r="H32" s="237"/>
      <c r="I32" s="238"/>
      <c r="J32" s="184"/>
      <c r="K32" s="184"/>
      <c r="L32" s="184"/>
      <c r="M32" s="239"/>
      <c r="N32" s="239"/>
      <c r="O32" s="239"/>
      <c r="P32" s="239" t="s">
        <v>47</v>
      </c>
      <c r="Q32" s="184"/>
      <c r="R32" s="184"/>
      <c r="S32" s="184"/>
      <c r="T32" s="184"/>
      <c r="U32" s="184"/>
      <c r="V32" s="68"/>
      <c r="W32" s="68"/>
    </row>
  </sheetData>
  <sheetProtection selectLockedCells="1"/>
  <mergeCells count="2">
    <mergeCell ref="N3:O3"/>
    <mergeCell ref="C2:U2"/>
  </mergeCells>
  <phoneticPr fontId="18" type="noConversion"/>
  <printOptions horizontalCentered="1"/>
  <pageMargins left="0" right="0" top="0.25" bottom="0" header="0" footer="0"/>
  <pageSetup paperSize="9" scale="33" orientation="landscape" r:id="rId1"/>
  <headerFooter alignWithMargins="0">
    <oddFooter>&amp;C_x000D_&amp;1#&amp;"Calibri"&amp;10&amp;K000000 Restricted : General Al-Futtaim Group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D34F-7294-4F98-BD7B-F0751DC52555}">
  <sheetPr>
    <pageSetUpPr fitToPage="1"/>
  </sheetPr>
  <dimension ref="A1:L9"/>
  <sheetViews>
    <sheetView zoomScale="70" zoomScaleNormal="70" workbookViewId="0">
      <selection activeCell="B6" sqref="B6"/>
    </sheetView>
  </sheetViews>
  <sheetFormatPr defaultColWidth="8.54296875" defaultRowHeight="15.5"/>
  <cols>
    <col min="1" max="1" width="15" style="33" customWidth="1"/>
    <col min="2" max="2" width="19" style="33" customWidth="1"/>
    <col min="3" max="3" width="13.54296875" style="33" bestFit="1" customWidth="1"/>
    <col min="4" max="4" width="42.54296875" style="33" customWidth="1"/>
    <col min="5" max="5" width="15.36328125" style="33" customWidth="1"/>
    <col min="6" max="6" width="25.54296875" style="33" bestFit="1" customWidth="1"/>
    <col min="7" max="7" width="10.54296875" style="33" bestFit="1" customWidth="1"/>
    <col min="8" max="8" width="11.54296875" style="33" customWidth="1"/>
    <col min="9" max="11" width="8.54296875" style="33"/>
    <col min="12" max="12" width="44.6328125" style="33" customWidth="1"/>
    <col min="13" max="16384" width="8.54296875" style="33"/>
  </cols>
  <sheetData>
    <row r="1" spans="1:12">
      <c r="A1" s="80" t="s">
        <v>75</v>
      </c>
      <c r="B1" s="32"/>
      <c r="C1" s="32"/>
      <c r="D1" s="80"/>
      <c r="E1" s="32"/>
      <c r="F1" s="32"/>
    </row>
    <row r="2" spans="1:12">
      <c r="A2" s="34" t="s">
        <v>76</v>
      </c>
      <c r="B2" s="34" t="s">
        <v>77</v>
      </c>
      <c r="C2" s="34" t="s">
        <v>78</v>
      </c>
      <c r="D2" s="43" t="s">
        <v>79</v>
      </c>
      <c r="E2" s="34" t="s">
        <v>80</v>
      </c>
      <c r="F2" s="60" t="s">
        <v>81</v>
      </c>
      <c r="G2" s="159" t="s">
        <v>82</v>
      </c>
      <c r="H2" s="41"/>
    </row>
    <row r="3" spans="1:12">
      <c r="A3" s="144" t="s">
        <v>83</v>
      </c>
      <c r="B3" s="145" t="s">
        <v>84</v>
      </c>
      <c r="C3" s="146">
        <v>177952</v>
      </c>
      <c r="D3" s="145" t="s">
        <v>85</v>
      </c>
      <c r="E3" s="146" t="s">
        <v>86</v>
      </c>
      <c r="F3" s="145" t="s">
        <v>87</v>
      </c>
      <c r="G3" t="s">
        <v>88</v>
      </c>
      <c r="H3" s="41"/>
      <c r="K3" s="52"/>
      <c r="L3" s="53"/>
    </row>
    <row r="4" spans="1:12">
      <c r="A4" s="144" t="s">
        <v>89</v>
      </c>
      <c r="B4" s="145" t="s">
        <v>90</v>
      </c>
      <c r="C4" s="146">
        <v>169477</v>
      </c>
      <c r="D4" s="145" t="s">
        <v>91</v>
      </c>
      <c r="E4" s="146" t="s">
        <v>86</v>
      </c>
      <c r="F4" s="145" t="s">
        <v>92</v>
      </c>
      <c r="G4" t="s">
        <v>88</v>
      </c>
      <c r="H4" s="41"/>
      <c r="I4" s="54"/>
      <c r="J4" s="54"/>
      <c r="K4" s="52"/>
      <c r="L4" s="53"/>
    </row>
    <row r="5" spans="1:12">
      <c r="A5" s="144" t="s">
        <v>89</v>
      </c>
      <c r="B5" s="145" t="s">
        <v>93</v>
      </c>
      <c r="C5" s="146">
        <v>173994</v>
      </c>
      <c r="D5" s="145" t="s">
        <v>94</v>
      </c>
      <c r="E5" s="146" t="s">
        <v>86</v>
      </c>
      <c r="F5" s="145" t="s">
        <v>95</v>
      </c>
      <c r="G5" t="s">
        <v>88</v>
      </c>
      <c r="H5" s="41"/>
      <c r="I5" s="55"/>
      <c r="J5" s="55"/>
      <c r="K5" s="56"/>
    </row>
    <row r="6" spans="1:12">
      <c r="A6" s="144" t="s">
        <v>89</v>
      </c>
      <c r="B6" s="145" t="s">
        <v>96</v>
      </c>
      <c r="C6" s="146">
        <v>114752</v>
      </c>
      <c r="D6" s="145" t="s">
        <v>97</v>
      </c>
      <c r="E6" s="146" t="s">
        <v>86</v>
      </c>
      <c r="F6" s="145" t="s">
        <v>98</v>
      </c>
      <c r="G6" t="s">
        <v>88</v>
      </c>
      <c r="H6" s="57"/>
      <c r="I6" s="58"/>
      <c r="J6" s="58"/>
      <c r="K6" s="52"/>
      <c r="L6" s="53"/>
    </row>
    <row r="7" spans="1:12">
      <c r="A7" s="99"/>
      <c r="B7" s="98"/>
      <c r="C7" s="65"/>
      <c r="D7" s="100"/>
      <c r="E7" s="37"/>
      <c r="F7" s="82"/>
      <c r="G7" s="44"/>
      <c r="H7" s="57"/>
      <c r="I7" s="58"/>
      <c r="J7" s="58"/>
      <c r="K7" s="52"/>
      <c r="L7" s="53"/>
    </row>
    <row r="8" spans="1:12">
      <c r="A8" s="99"/>
      <c r="B8" s="98"/>
      <c r="C8" s="65"/>
      <c r="D8" s="100"/>
      <c r="E8" s="37"/>
      <c r="F8" s="82"/>
      <c r="G8" s="44"/>
      <c r="H8" s="57"/>
      <c r="I8" s="58"/>
      <c r="J8" s="58"/>
      <c r="K8" s="52"/>
      <c r="L8" s="53"/>
    </row>
    <row r="9" spans="1:12">
      <c r="A9" s="38"/>
      <c r="B9" s="38"/>
      <c r="C9" s="40"/>
      <c r="D9" s="91"/>
      <c r="E9" s="41"/>
      <c r="H9" s="57"/>
      <c r="I9" s="58"/>
      <c r="J9" s="58"/>
      <c r="K9" s="52"/>
      <c r="L9" s="53"/>
    </row>
  </sheetData>
  <phoneticPr fontId="18" type="noConversion"/>
  <conditionalFormatting sqref="A3:B6">
    <cfRule type="containsText" dxfId="158" priority="1" operator="containsText" text="No">
      <formula>NOT(ISERROR(SEARCH("No",A3)))</formula>
    </cfRule>
  </conditionalFormatting>
  <conditionalFormatting sqref="C3">
    <cfRule type="containsText" dxfId="157" priority="3" operator="containsText" text="No">
      <formula>NOT(ISERROR(SEARCH("No",C3)))</formula>
    </cfRule>
    <cfRule type="duplicateValues" dxfId="156" priority="4"/>
  </conditionalFormatting>
  <conditionalFormatting sqref="C4">
    <cfRule type="duplicateValues" dxfId="155" priority="6"/>
    <cfRule type="containsText" dxfId="154" priority="7" operator="containsText" text="No">
      <formula>NOT(ISERROR(SEARCH("No",C4)))</formula>
    </cfRule>
  </conditionalFormatting>
  <conditionalFormatting sqref="C5:C6">
    <cfRule type="containsText" dxfId="153" priority="5" operator="containsText" text="No">
      <formula>NOT(ISERROR(SEARCH("No",C5)))</formula>
    </cfRule>
  </conditionalFormatting>
  <conditionalFormatting sqref="C6">
    <cfRule type="duplicateValues" dxfId="152" priority="14"/>
  </conditionalFormatting>
  <conditionalFormatting sqref="D3 F3">
    <cfRule type="duplicateValues" dxfId="151" priority="33"/>
  </conditionalFormatting>
  <conditionalFormatting sqref="D3">
    <cfRule type="duplicateValues" dxfId="150" priority="32"/>
  </conditionalFormatting>
  <conditionalFormatting sqref="D4">
    <cfRule type="duplicateValues" dxfId="149" priority="28"/>
    <cfRule type="duplicateValues" dxfId="148" priority="29"/>
  </conditionalFormatting>
  <conditionalFormatting sqref="D5">
    <cfRule type="duplicateValues" dxfId="147" priority="19"/>
    <cfRule type="duplicateValues" dxfId="146" priority="20"/>
    <cfRule type="duplicateValues" dxfId="145" priority="21"/>
    <cfRule type="duplicateValues" dxfId="144" priority="22"/>
    <cfRule type="duplicateValues" dxfId="143" priority="23"/>
    <cfRule type="duplicateValues" dxfId="142" priority="24"/>
  </conditionalFormatting>
  <conditionalFormatting sqref="D6 F6">
    <cfRule type="duplicateValues" dxfId="141" priority="219"/>
  </conditionalFormatting>
  <conditionalFormatting sqref="E3:E6">
    <cfRule type="containsText" dxfId="140" priority="31" operator="containsText" text="No">
      <formula>NOT(ISERROR(SEARCH("No",E3)))</formula>
    </cfRule>
  </conditionalFormatting>
  <conditionalFormatting sqref="F4">
    <cfRule type="duplicateValues" dxfId="139" priority="30"/>
  </conditionalFormatting>
  <conditionalFormatting sqref="F5">
    <cfRule type="duplicateValues" dxfId="138" priority="18"/>
    <cfRule type="duplicateValues" dxfId="137" priority="25"/>
  </conditionalFormatting>
  <hyperlinks>
    <hyperlink ref="F5" r:id="rId1" xr:uid="{B3E54DA7-3678-474E-B649-D8375D5F5A98}"/>
  </hyperlinks>
  <pageMargins left="0.7" right="0.7" top="0.75" bottom="0.75" header="0.3" footer="0.3"/>
  <pageSetup paperSize="9" scale="86" orientation="landscape"/>
  <headerFooter>
    <oddFooter>&amp;C_x000D_&amp;1#&amp;"Calibri"&amp;10&amp;K000000 Restricted : General Al-Futtaim Group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021-0835-4631-A30E-A663195996CA}">
  <sheetPr>
    <pageSetUpPr fitToPage="1"/>
  </sheetPr>
  <dimension ref="A1:M85"/>
  <sheetViews>
    <sheetView zoomScale="55" zoomScaleNormal="55" workbookViewId="0">
      <selection activeCell="A81" sqref="A81:XFD85"/>
    </sheetView>
  </sheetViews>
  <sheetFormatPr defaultColWidth="8.54296875" defaultRowHeight="15.5"/>
  <cols>
    <col min="1" max="1" width="14.453125" style="33" customWidth="1"/>
    <col min="2" max="2" width="15" style="33" customWidth="1"/>
    <col min="3" max="3" width="13.54296875" style="33" bestFit="1" customWidth="1"/>
    <col min="4" max="4" width="31.36328125" style="33" customWidth="1"/>
    <col min="5" max="5" width="20" style="33" bestFit="1" customWidth="1"/>
    <col min="6" max="6" width="17.6328125" style="39" customWidth="1"/>
    <col min="7" max="7" width="15.453125" style="33" customWidth="1"/>
    <col min="8" max="8" width="8.54296875" style="33"/>
    <col min="9" max="9" width="19.54296875" style="33" bestFit="1" customWidth="1"/>
    <col min="10" max="12" width="8.54296875" style="33"/>
    <col min="13" max="13" width="11.6328125" style="33" customWidth="1"/>
    <col min="14" max="16384" width="8.54296875" style="33"/>
  </cols>
  <sheetData>
    <row r="1" spans="1:13">
      <c r="A1" s="80" t="s">
        <v>99</v>
      </c>
      <c r="B1" s="32"/>
      <c r="C1" s="32"/>
      <c r="D1" s="80"/>
      <c r="E1" s="32"/>
      <c r="F1" s="32"/>
      <c r="G1" s="32"/>
    </row>
    <row r="2" spans="1:13">
      <c r="A2" s="34" t="s">
        <v>76</v>
      </c>
      <c r="B2" s="34" t="s">
        <v>77</v>
      </c>
      <c r="C2" s="34" t="s">
        <v>78</v>
      </c>
      <c r="D2" s="43" t="s">
        <v>79</v>
      </c>
      <c r="E2" s="34" t="s">
        <v>80</v>
      </c>
      <c r="F2" s="60" t="s">
        <v>81</v>
      </c>
      <c r="G2" s="35" t="s">
        <v>100</v>
      </c>
      <c r="H2" s="148" t="s">
        <v>101</v>
      </c>
      <c r="I2" s="148" t="s">
        <v>82</v>
      </c>
    </row>
    <row r="3" spans="1:13">
      <c r="A3" s="147" t="s">
        <v>89</v>
      </c>
      <c r="B3" s="147" t="s">
        <v>102</v>
      </c>
      <c r="C3" s="146">
        <v>178744</v>
      </c>
      <c r="D3" s="145" t="s">
        <v>103</v>
      </c>
      <c r="E3" s="146" t="s">
        <v>104</v>
      </c>
      <c r="F3" s="76"/>
      <c r="G3" s="156"/>
      <c r="H3" s="149" t="s">
        <v>101</v>
      </c>
      <c r="I3" s="150" t="s">
        <v>105</v>
      </c>
      <c r="J3" s="63"/>
      <c r="K3" s="63"/>
      <c r="L3" s="63"/>
      <c r="M3" s="63"/>
    </row>
    <row r="4" spans="1:13">
      <c r="A4" s="147" t="s">
        <v>89</v>
      </c>
      <c r="B4" s="147" t="s">
        <v>102</v>
      </c>
      <c r="C4" s="146">
        <v>121801</v>
      </c>
      <c r="D4" s="145" t="s">
        <v>106</v>
      </c>
      <c r="E4" s="146" t="s">
        <v>107</v>
      </c>
      <c r="F4" s="76"/>
      <c r="G4" s="156"/>
      <c r="H4" s="149" t="s">
        <v>101</v>
      </c>
      <c r="I4" s="150" t="s">
        <v>105</v>
      </c>
      <c r="J4" s="63"/>
      <c r="K4" s="63"/>
      <c r="L4" s="63"/>
      <c r="M4" s="63"/>
    </row>
    <row r="5" spans="1:13" ht="17.25" customHeight="1">
      <c r="A5" s="147" t="s">
        <v>89</v>
      </c>
      <c r="B5" s="147" t="s">
        <v>102</v>
      </c>
      <c r="C5" s="146">
        <v>178371</v>
      </c>
      <c r="D5" s="145" t="s">
        <v>108</v>
      </c>
      <c r="E5" s="146" t="s">
        <v>29</v>
      </c>
      <c r="F5" s="76"/>
      <c r="G5" s="156"/>
      <c r="H5" s="149" t="s">
        <v>101</v>
      </c>
      <c r="I5" s="151" t="s">
        <v>88</v>
      </c>
      <c r="J5" s="63"/>
      <c r="K5" s="63"/>
      <c r="L5" s="63"/>
      <c r="M5" s="63"/>
    </row>
    <row r="6" spans="1:13">
      <c r="A6" s="147" t="s">
        <v>89</v>
      </c>
      <c r="B6" s="147" t="s">
        <v>102</v>
      </c>
      <c r="C6" s="146">
        <v>173994</v>
      </c>
      <c r="D6" s="145" t="s">
        <v>109</v>
      </c>
      <c r="E6" s="146" t="s">
        <v>29</v>
      </c>
      <c r="F6" s="76"/>
      <c r="G6" s="156"/>
      <c r="H6" s="149" t="s">
        <v>101</v>
      </c>
      <c r="I6" s="151" t="s">
        <v>88</v>
      </c>
      <c r="J6" s="63"/>
      <c r="K6" s="63"/>
      <c r="L6" s="63"/>
      <c r="M6" s="63"/>
    </row>
    <row r="7" spans="1:13">
      <c r="A7" s="147" t="s">
        <v>89</v>
      </c>
      <c r="B7" s="147" t="s">
        <v>110</v>
      </c>
      <c r="C7" s="146">
        <v>178622</v>
      </c>
      <c r="D7" s="145" t="s">
        <v>111</v>
      </c>
      <c r="E7" s="146" t="s">
        <v>29</v>
      </c>
      <c r="F7" s="76"/>
      <c r="G7" s="42"/>
      <c r="H7" s="149" t="s">
        <v>101</v>
      </c>
      <c r="I7" s="151" t="s">
        <v>88</v>
      </c>
      <c r="J7" s="63"/>
      <c r="K7" s="63"/>
      <c r="L7" s="63"/>
      <c r="M7" s="63"/>
    </row>
    <row r="8" spans="1:13">
      <c r="A8" s="147" t="s">
        <v>89</v>
      </c>
      <c r="B8" s="147" t="s">
        <v>110</v>
      </c>
      <c r="C8" s="146">
        <v>44859</v>
      </c>
      <c r="D8" s="145" t="s">
        <v>112</v>
      </c>
      <c r="E8" s="146" t="s">
        <v>107</v>
      </c>
      <c r="F8" s="78"/>
      <c r="G8" s="42"/>
      <c r="H8" s="149" t="s">
        <v>101</v>
      </c>
      <c r="I8" s="151" t="s">
        <v>88</v>
      </c>
    </row>
    <row r="9" spans="1:13">
      <c r="A9" s="147" t="s">
        <v>83</v>
      </c>
      <c r="B9" s="147" t="s">
        <v>113</v>
      </c>
      <c r="C9" s="146">
        <v>177952</v>
      </c>
      <c r="D9" s="145" t="s">
        <v>85</v>
      </c>
      <c r="E9" s="146" t="s">
        <v>29</v>
      </c>
      <c r="F9" s="108"/>
      <c r="G9" s="78"/>
      <c r="H9" s="149" t="s">
        <v>101</v>
      </c>
      <c r="I9" s="151" t="s">
        <v>88</v>
      </c>
    </row>
    <row r="10" spans="1:13">
      <c r="A10" s="147" t="s">
        <v>83</v>
      </c>
      <c r="B10" s="147" t="s">
        <v>113</v>
      </c>
      <c r="C10" s="146">
        <v>181231</v>
      </c>
      <c r="D10" s="145" t="s">
        <v>114</v>
      </c>
      <c r="E10" s="146" t="s">
        <v>29</v>
      </c>
      <c r="F10" s="108"/>
      <c r="G10" s="78"/>
      <c r="H10" s="149" t="s">
        <v>101</v>
      </c>
      <c r="I10" s="151" t="s">
        <v>88</v>
      </c>
    </row>
    <row r="11" spans="1:13">
      <c r="A11" s="147" t="s">
        <v>83</v>
      </c>
      <c r="B11" s="147" t="s">
        <v>113</v>
      </c>
      <c r="C11" s="146">
        <v>181233</v>
      </c>
      <c r="D11" s="145" t="s">
        <v>115</v>
      </c>
      <c r="E11" s="146" t="s">
        <v>69</v>
      </c>
      <c r="F11" s="108"/>
      <c r="G11" s="78"/>
      <c r="H11" s="149" t="s">
        <v>101</v>
      </c>
      <c r="I11" s="151" t="s">
        <v>88</v>
      </c>
    </row>
    <row r="12" spans="1:13" ht="15" customHeight="1">
      <c r="A12" s="147" t="s">
        <v>89</v>
      </c>
      <c r="B12" s="147" t="s">
        <v>116</v>
      </c>
      <c r="C12" s="146">
        <v>177250</v>
      </c>
      <c r="D12" s="145" t="s">
        <v>117</v>
      </c>
      <c r="E12" s="146" t="s">
        <v>118</v>
      </c>
      <c r="F12" s="108"/>
      <c r="G12" s="78"/>
      <c r="H12" s="149" t="s">
        <v>101</v>
      </c>
      <c r="I12" s="152" t="s">
        <v>119</v>
      </c>
    </row>
    <row r="13" spans="1:13">
      <c r="A13" s="147" t="s">
        <v>89</v>
      </c>
      <c r="B13" s="147" t="s">
        <v>116</v>
      </c>
      <c r="C13" s="146">
        <v>161548</v>
      </c>
      <c r="D13" s="145" t="s">
        <v>120</v>
      </c>
      <c r="E13" s="146" t="s">
        <v>118</v>
      </c>
      <c r="F13" s="108"/>
      <c r="G13" s="78"/>
      <c r="H13" s="149" t="s">
        <v>101</v>
      </c>
      <c r="I13" s="151" t="s">
        <v>88</v>
      </c>
    </row>
    <row r="14" spans="1:13">
      <c r="A14" s="147" t="s">
        <v>89</v>
      </c>
      <c r="B14" s="147" t="s">
        <v>121</v>
      </c>
      <c r="C14" s="146">
        <v>128282</v>
      </c>
      <c r="D14" s="145" t="s">
        <v>122</v>
      </c>
      <c r="E14" s="146" t="s">
        <v>29</v>
      </c>
      <c r="F14" s="108"/>
      <c r="G14" s="78"/>
      <c r="H14" s="149" t="s">
        <v>101</v>
      </c>
      <c r="I14" s="151" t="s">
        <v>88</v>
      </c>
    </row>
    <row r="15" spans="1:13">
      <c r="A15" s="147" t="s">
        <v>89</v>
      </c>
      <c r="B15" s="147" t="s">
        <v>121</v>
      </c>
      <c r="C15" s="146">
        <v>179127</v>
      </c>
      <c r="D15" s="145" t="s">
        <v>123</v>
      </c>
      <c r="E15" s="146" t="s">
        <v>124</v>
      </c>
      <c r="F15" s="108"/>
      <c r="G15" s="78"/>
      <c r="H15" s="149" t="s">
        <v>101</v>
      </c>
      <c r="I15" s="150" t="s">
        <v>105</v>
      </c>
    </row>
    <row r="16" spans="1:13">
      <c r="A16" s="147" t="s">
        <v>89</v>
      </c>
      <c r="B16" s="147" t="s">
        <v>125</v>
      </c>
      <c r="C16" s="146">
        <v>179859</v>
      </c>
      <c r="D16" s="145" t="s">
        <v>126</v>
      </c>
      <c r="E16" s="146" t="s">
        <v>29</v>
      </c>
      <c r="F16" s="108"/>
      <c r="G16" s="78"/>
      <c r="H16" s="149" t="s">
        <v>101</v>
      </c>
      <c r="I16" s="151" t="s">
        <v>88</v>
      </c>
    </row>
    <row r="17" spans="1:13">
      <c r="A17" s="147" t="s">
        <v>89</v>
      </c>
      <c r="B17" s="147" t="s">
        <v>125</v>
      </c>
      <c r="C17" s="146">
        <v>162749</v>
      </c>
      <c r="D17" s="145" t="s">
        <v>127</v>
      </c>
      <c r="E17" s="146" t="s">
        <v>124</v>
      </c>
      <c r="F17" s="108"/>
      <c r="G17" s="78"/>
      <c r="H17" s="149" t="s">
        <v>101</v>
      </c>
      <c r="I17" s="151" t="s">
        <v>88</v>
      </c>
    </row>
    <row r="20" spans="1:13">
      <c r="A20" s="80" t="s">
        <v>128</v>
      </c>
      <c r="B20" s="32"/>
      <c r="C20" s="32"/>
      <c r="D20" s="80"/>
      <c r="E20" s="32"/>
      <c r="F20" s="32"/>
      <c r="G20" s="32"/>
    </row>
    <row r="21" spans="1:13">
      <c r="A21" s="34" t="s">
        <v>76</v>
      </c>
      <c r="B21" s="34" t="s">
        <v>77</v>
      </c>
      <c r="C21" s="34" t="s">
        <v>78</v>
      </c>
      <c r="D21" s="43" t="s">
        <v>79</v>
      </c>
      <c r="E21" s="34" t="s">
        <v>80</v>
      </c>
      <c r="F21" s="60" t="s">
        <v>81</v>
      </c>
      <c r="G21" s="35" t="s">
        <v>100</v>
      </c>
      <c r="H21" s="148" t="s">
        <v>101</v>
      </c>
      <c r="I21" s="148" t="s">
        <v>82</v>
      </c>
    </row>
    <row r="22" spans="1:13">
      <c r="A22" s="147" t="s">
        <v>89</v>
      </c>
      <c r="B22" s="147" t="s">
        <v>102</v>
      </c>
      <c r="C22" s="146">
        <v>154728</v>
      </c>
      <c r="D22" s="145" t="s">
        <v>129</v>
      </c>
      <c r="E22" s="146" t="s">
        <v>29</v>
      </c>
      <c r="F22" s="76"/>
      <c r="G22" s="156"/>
      <c r="H22" s="149" t="s">
        <v>101</v>
      </c>
      <c r="I22" s="151" t="s">
        <v>88</v>
      </c>
      <c r="J22" s="63"/>
      <c r="K22" s="63"/>
      <c r="L22" s="63"/>
      <c r="M22" s="63"/>
    </row>
    <row r="23" spans="1:13">
      <c r="A23" s="147" t="s">
        <v>89</v>
      </c>
      <c r="B23" s="147" t="s">
        <v>102</v>
      </c>
      <c r="C23" s="146">
        <v>125685</v>
      </c>
      <c r="D23" s="145" t="s">
        <v>130</v>
      </c>
      <c r="E23" s="146" t="s">
        <v>124</v>
      </c>
      <c r="F23" s="76"/>
      <c r="G23" s="156"/>
      <c r="H23" s="149" t="s">
        <v>101</v>
      </c>
      <c r="I23" s="151" t="s">
        <v>88</v>
      </c>
      <c r="J23" s="63"/>
      <c r="K23" s="63"/>
      <c r="L23" s="63"/>
      <c r="M23" s="63"/>
    </row>
    <row r="24" spans="1:13" ht="17.25" customHeight="1">
      <c r="A24" s="147" t="s">
        <v>89</v>
      </c>
      <c r="B24" s="147" t="s">
        <v>102</v>
      </c>
      <c r="C24" s="146">
        <v>149930</v>
      </c>
      <c r="D24" s="145" t="s">
        <v>131</v>
      </c>
      <c r="E24" s="146" t="s">
        <v>29</v>
      </c>
      <c r="F24" s="76"/>
      <c r="G24" s="156"/>
      <c r="H24" s="149" t="s">
        <v>101</v>
      </c>
      <c r="I24" s="151" t="s">
        <v>88</v>
      </c>
      <c r="J24" s="63"/>
      <c r="K24" s="63"/>
      <c r="L24" s="63"/>
      <c r="M24" s="63"/>
    </row>
    <row r="25" spans="1:13">
      <c r="A25" s="147" t="s">
        <v>83</v>
      </c>
      <c r="B25" s="147" t="s">
        <v>132</v>
      </c>
      <c r="C25" s="146">
        <v>179825</v>
      </c>
      <c r="D25" s="145" t="s">
        <v>133</v>
      </c>
      <c r="E25" s="146" t="s">
        <v>29</v>
      </c>
      <c r="F25" s="76"/>
      <c r="G25" s="156"/>
      <c r="H25" s="149" t="s">
        <v>101</v>
      </c>
      <c r="I25" s="151" t="s">
        <v>88</v>
      </c>
      <c r="J25" s="63"/>
      <c r="K25" s="63"/>
      <c r="L25" s="63"/>
      <c r="M25" s="63"/>
    </row>
    <row r="26" spans="1:13">
      <c r="A26" s="147" t="s">
        <v>83</v>
      </c>
      <c r="B26" s="147" t="s">
        <v>113</v>
      </c>
      <c r="C26" s="153">
        <v>156227</v>
      </c>
      <c r="D26" s="145" t="s">
        <v>134</v>
      </c>
      <c r="E26" s="146" t="s">
        <v>29</v>
      </c>
      <c r="F26" s="76"/>
      <c r="G26" s="42"/>
      <c r="H26" s="149" t="s">
        <v>101</v>
      </c>
      <c r="I26" s="151" t="s">
        <v>88</v>
      </c>
      <c r="J26" s="63"/>
      <c r="K26" s="63"/>
      <c r="L26" s="63"/>
      <c r="M26" s="63"/>
    </row>
    <row r="27" spans="1:13">
      <c r="A27" s="147" t="s">
        <v>89</v>
      </c>
      <c r="B27" s="147" t="s">
        <v>116</v>
      </c>
      <c r="C27" s="146">
        <v>137569</v>
      </c>
      <c r="D27" s="145" t="s">
        <v>135</v>
      </c>
      <c r="E27" s="146" t="s">
        <v>29</v>
      </c>
      <c r="F27" s="78"/>
      <c r="G27" s="42"/>
      <c r="H27" s="149" t="s">
        <v>101</v>
      </c>
      <c r="I27" s="151" t="s">
        <v>88</v>
      </c>
    </row>
    <row r="28" spans="1:13">
      <c r="A28" s="147" t="s">
        <v>136</v>
      </c>
      <c r="B28" s="147" t="s">
        <v>137</v>
      </c>
      <c r="C28" s="146">
        <v>5917</v>
      </c>
      <c r="D28" s="145" t="s">
        <v>138</v>
      </c>
      <c r="E28" s="146" t="s">
        <v>29</v>
      </c>
      <c r="F28" s="108"/>
      <c r="G28" s="78"/>
      <c r="H28" s="149" t="s">
        <v>101</v>
      </c>
      <c r="I28" s="150" t="s">
        <v>105</v>
      </c>
    </row>
    <row r="29" spans="1:13">
      <c r="A29" s="147" t="s">
        <v>136</v>
      </c>
      <c r="B29" s="147" t="s">
        <v>139</v>
      </c>
      <c r="C29" s="146">
        <v>152593</v>
      </c>
      <c r="D29" s="145" t="s">
        <v>140</v>
      </c>
      <c r="E29" s="146" t="s">
        <v>29</v>
      </c>
      <c r="F29" s="108"/>
      <c r="G29" s="78"/>
      <c r="H29" s="149" t="s">
        <v>101</v>
      </c>
      <c r="I29" s="150" t="s">
        <v>105</v>
      </c>
    </row>
    <row r="30" spans="1:13">
      <c r="A30" s="147" t="s">
        <v>136</v>
      </c>
      <c r="B30" s="147" t="s">
        <v>141</v>
      </c>
      <c r="C30" s="146">
        <v>167389</v>
      </c>
      <c r="D30" s="145" t="s">
        <v>142</v>
      </c>
      <c r="E30" s="146" t="s">
        <v>143</v>
      </c>
      <c r="F30" s="108"/>
      <c r="G30" s="78"/>
      <c r="H30" s="149" t="s">
        <v>101</v>
      </c>
      <c r="I30" s="150" t="s">
        <v>105</v>
      </c>
    </row>
    <row r="31" spans="1:13" ht="15" customHeight="1">
      <c r="A31" s="147" t="s">
        <v>136</v>
      </c>
      <c r="B31" s="147" t="s">
        <v>141</v>
      </c>
      <c r="C31" s="146">
        <v>150798</v>
      </c>
      <c r="D31" s="145" t="s">
        <v>144</v>
      </c>
      <c r="E31" s="146" t="s">
        <v>29</v>
      </c>
      <c r="F31" s="108"/>
      <c r="G31" s="78"/>
      <c r="H31" s="149" t="s">
        <v>101</v>
      </c>
      <c r="I31" s="152" t="s">
        <v>119</v>
      </c>
    </row>
    <row r="32" spans="1:13">
      <c r="A32" s="147" t="s">
        <v>89</v>
      </c>
      <c r="B32" s="147" t="s">
        <v>116</v>
      </c>
      <c r="C32" s="146">
        <v>64576</v>
      </c>
      <c r="D32" s="145" t="s">
        <v>145</v>
      </c>
      <c r="E32" s="146" t="s">
        <v>29</v>
      </c>
      <c r="F32" s="108"/>
      <c r="G32" s="78"/>
      <c r="H32" s="149" t="s">
        <v>101</v>
      </c>
      <c r="I32" s="151" t="s">
        <v>88</v>
      </c>
    </row>
    <row r="33" spans="1:13">
      <c r="A33" s="147" t="s">
        <v>89</v>
      </c>
      <c r="B33" s="147" t="s">
        <v>116</v>
      </c>
      <c r="C33" s="146">
        <v>179616</v>
      </c>
      <c r="D33" s="145" t="s">
        <v>146</v>
      </c>
      <c r="E33" s="146" t="s">
        <v>29</v>
      </c>
      <c r="F33" s="108"/>
      <c r="G33" s="78"/>
      <c r="H33" s="149" t="s">
        <v>101</v>
      </c>
      <c r="I33" s="151" t="s">
        <v>88</v>
      </c>
    </row>
    <row r="34" spans="1:13">
      <c r="A34" s="147" t="s">
        <v>89</v>
      </c>
      <c r="B34" s="147" t="s">
        <v>116</v>
      </c>
      <c r="C34" s="146">
        <v>176694</v>
      </c>
      <c r="D34" s="145" t="s">
        <v>147</v>
      </c>
      <c r="E34" s="146" t="s">
        <v>29</v>
      </c>
      <c r="F34" s="108"/>
      <c r="G34" s="78"/>
      <c r="H34" s="149" t="s">
        <v>101</v>
      </c>
      <c r="I34" s="151" t="s">
        <v>88</v>
      </c>
    </row>
    <row r="35" spans="1:13">
      <c r="A35" s="147" t="s">
        <v>148</v>
      </c>
      <c r="B35" s="147" t="s">
        <v>116</v>
      </c>
      <c r="C35" s="146">
        <v>169477</v>
      </c>
      <c r="D35" s="145" t="s">
        <v>149</v>
      </c>
      <c r="E35" s="146" t="s">
        <v>29</v>
      </c>
      <c r="F35" s="108"/>
      <c r="G35" s="78"/>
      <c r="H35" s="149" t="s">
        <v>101</v>
      </c>
      <c r="I35" s="151" t="s">
        <v>88</v>
      </c>
    </row>
    <row r="36" spans="1:13">
      <c r="A36" s="147" t="s">
        <v>148</v>
      </c>
      <c r="B36" s="147" t="s">
        <v>116</v>
      </c>
      <c r="C36" s="154">
        <v>162613</v>
      </c>
      <c r="D36" s="145" t="s">
        <v>150</v>
      </c>
      <c r="E36" s="146" t="s">
        <v>29</v>
      </c>
      <c r="F36" s="108"/>
      <c r="G36" s="78"/>
      <c r="H36" s="149" t="s">
        <v>101</v>
      </c>
      <c r="I36" s="151" t="s">
        <v>88</v>
      </c>
    </row>
    <row r="37" spans="1:13">
      <c r="A37" s="147" t="s">
        <v>89</v>
      </c>
      <c r="B37" s="147" t="s">
        <v>116</v>
      </c>
      <c r="C37" s="146">
        <v>109550</v>
      </c>
      <c r="D37" s="145" t="s">
        <v>151</v>
      </c>
      <c r="E37" s="146" t="s">
        <v>29</v>
      </c>
      <c r="F37" s="108"/>
      <c r="G37" s="78"/>
      <c r="H37" s="149" t="s">
        <v>152</v>
      </c>
      <c r="I37" s="155" t="s">
        <v>88</v>
      </c>
    </row>
    <row r="38" spans="1:13">
      <c r="A38" s="147" t="s">
        <v>89</v>
      </c>
      <c r="B38" s="147" t="s">
        <v>116</v>
      </c>
      <c r="C38" s="146">
        <v>177158</v>
      </c>
      <c r="D38" s="145" t="s">
        <v>153</v>
      </c>
      <c r="E38" s="146" t="s">
        <v>29</v>
      </c>
      <c r="F38" s="108"/>
      <c r="G38" s="78"/>
      <c r="H38" s="149" t="s">
        <v>152</v>
      </c>
      <c r="I38" s="155" t="s">
        <v>88</v>
      </c>
    </row>
    <row r="39" spans="1:13">
      <c r="A39" s="147" t="s">
        <v>89</v>
      </c>
      <c r="B39" s="147" t="s">
        <v>116</v>
      </c>
      <c r="C39" s="146">
        <v>179194</v>
      </c>
      <c r="D39" s="145" t="s">
        <v>154</v>
      </c>
      <c r="E39" s="146" t="s">
        <v>29</v>
      </c>
      <c r="F39" s="108"/>
      <c r="G39" s="78"/>
      <c r="H39" s="149" t="s">
        <v>152</v>
      </c>
      <c r="I39" s="155" t="s">
        <v>88</v>
      </c>
    </row>
    <row r="42" spans="1:13">
      <c r="A42" s="80" t="s">
        <v>155</v>
      </c>
      <c r="B42" s="32"/>
      <c r="C42" s="32"/>
      <c r="D42" s="80"/>
      <c r="E42" s="32"/>
      <c r="F42" s="32"/>
      <c r="G42" s="32"/>
    </row>
    <row r="43" spans="1:13">
      <c r="A43" s="34" t="s">
        <v>76</v>
      </c>
      <c r="B43" s="34" t="s">
        <v>77</v>
      </c>
      <c r="C43" s="34" t="s">
        <v>78</v>
      </c>
      <c r="D43" s="43" t="s">
        <v>79</v>
      </c>
      <c r="E43" s="34" t="s">
        <v>80</v>
      </c>
      <c r="F43" s="60" t="s">
        <v>81</v>
      </c>
      <c r="G43" s="35" t="s">
        <v>100</v>
      </c>
      <c r="H43" s="148" t="s">
        <v>101</v>
      </c>
      <c r="I43" s="148" t="s">
        <v>82</v>
      </c>
    </row>
    <row r="44" spans="1:13">
      <c r="A44" s="147" t="s">
        <v>89</v>
      </c>
      <c r="B44" s="147" t="s">
        <v>102</v>
      </c>
      <c r="C44" s="146">
        <v>178266</v>
      </c>
      <c r="D44" s="145" t="s">
        <v>156</v>
      </c>
      <c r="E44" s="146" t="s">
        <v>104</v>
      </c>
      <c r="F44" s="76"/>
      <c r="G44" s="156"/>
      <c r="H44" s="149" t="s">
        <v>101</v>
      </c>
      <c r="I44" s="150" t="s">
        <v>105</v>
      </c>
      <c r="J44" s="63"/>
      <c r="K44" s="63"/>
      <c r="L44" s="63"/>
      <c r="M44" s="63"/>
    </row>
    <row r="45" spans="1:13">
      <c r="A45" s="147" t="s">
        <v>89</v>
      </c>
      <c r="B45" s="147" t="s">
        <v>102</v>
      </c>
      <c r="C45" s="146">
        <v>180042</v>
      </c>
      <c r="D45" s="145" t="s">
        <v>157</v>
      </c>
      <c r="E45" s="146" t="s">
        <v>124</v>
      </c>
      <c r="F45" s="76"/>
      <c r="G45" s="156"/>
      <c r="H45" s="149" t="s">
        <v>101</v>
      </c>
      <c r="I45" s="151" t="s">
        <v>88</v>
      </c>
      <c r="J45" s="63"/>
      <c r="K45" s="63"/>
      <c r="L45" s="63"/>
      <c r="M45" s="63"/>
    </row>
    <row r="46" spans="1:13" ht="17.25" customHeight="1">
      <c r="A46" s="147" t="s">
        <v>89</v>
      </c>
      <c r="B46" s="147" t="s">
        <v>102</v>
      </c>
      <c r="C46" s="146">
        <v>181703</v>
      </c>
      <c r="D46" s="145" t="s">
        <v>158</v>
      </c>
      <c r="E46" s="146" t="s">
        <v>29</v>
      </c>
      <c r="F46" s="76"/>
      <c r="G46" s="156"/>
      <c r="H46" s="149" t="s">
        <v>101</v>
      </c>
      <c r="I46" s="151" t="s">
        <v>88</v>
      </c>
      <c r="J46" s="63"/>
      <c r="K46" s="63"/>
      <c r="L46" s="63"/>
      <c r="M46" s="63"/>
    </row>
    <row r="47" spans="1:13">
      <c r="A47" s="147" t="s">
        <v>89</v>
      </c>
      <c r="B47" s="147" t="s">
        <v>110</v>
      </c>
      <c r="C47" s="146">
        <v>116086</v>
      </c>
      <c r="D47" s="145" t="s">
        <v>159</v>
      </c>
      <c r="E47" s="146" t="s">
        <v>29</v>
      </c>
      <c r="F47" s="76"/>
      <c r="G47" s="156"/>
      <c r="H47" s="149" t="s">
        <v>101</v>
      </c>
      <c r="I47" s="151" t="s">
        <v>88</v>
      </c>
      <c r="J47" s="63"/>
      <c r="K47" s="63"/>
      <c r="L47" s="63"/>
      <c r="M47" s="63"/>
    </row>
    <row r="48" spans="1:13">
      <c r="A48" s="147" t="s">
        <v>89</v>
      </c>
      <c r="B48" s="147" t="s">
        <v>110</v>
      </c>
      <c r="C48" s="146">
        <v>105811</v>
      </c>
      <c r="D48" s="145" t="s">
        <v>160</v>
      </c>
      <c r="E48" s="146" t="s">
        <v>104</v>
      </c>
      <c r="F48" s="76"/>
      <c r="G48" s="42"/>
      <c r="H48" s="149" t="s">
        <v>101</v>
      </c>
      <c r="I48" s="150" t="s">
        <v>105</v>
      </c>
      <c r="J48" s="63"/>
      <c r="K48" s="63"/>
      <c r="L48" s="63"/>
      <c r="M48" s="63"/>
    </row>
    <row r="49" spans="1:13">
      <c r="A49" s="147" t="s">
        <v>89</v>
      </c>
      <c r="B49" s="147" t="s">
        <v>116</v>
      </c>
      <c r="C49" s="146">
        <v>129270</v>
      </c>
      <c r="D49" s="157" t="s">
        <v>161</v>
      </c>
      <c r="E49" s="146" t="s">
        <v>118</v>
      </c>
      <c r="F49" s="78"/>
      <c r="G49" s="42"/>
      <c r="H49" s="149" t="s">
        <v>101</v>
      </c>
      <c r="I49" s="150" t="s">
        <v>105</v>
      </c>
    </row>
    <row r="50" spans="1:13">
      <c r="A50" s="147" t="s">
        <v>89</v>
      </c>
      <c r="B50" s="147" t="s">
        <v>116</v>
      </c>
      <c r="C50" s="146">
        <v>129108</v>
      </c>
      <c r="D50" s="145" t="s">
        <v>162</v>
      </c>
      <c r="E50" s="146" t="s">
        <v>118</v>
      </c>
      <c r="F50" s="108"/>
      <c r="G50" s="78"/>
      <c r="H50" s="149" t="s">
        <v>101</v>
      </c>
      <c r="I50" s="151" t="s">
        <v>88</v>
      </c>
    </row>
    <row r="51" spans="1:13">
      <c r="A51" s="147" t="s">
        <v>89</v>
      </c>
      <c r="B51" s="147" t="s">
        <v>121</v>
      </c>
      <c r="C51" s="146">
        <v>119560</v>
      </c>
      <c r="D51" s="145" t="s">
        <v>163</v>
      </c>
      <c r="E51" s="146" t="s">
        <v>104</v>
      </c>
      <c r="F51" s="108"/>
      <c r="G51" s="78"/>
      <c r="H51" s="149" t="s">
        <v>101</v>
      </c>
      <c r="I51" s="151" t="s">
        <v>88</v>
      </c>
    </row>
    <row r="52" spans="1:13">
      <c r="A52" s="147" t="s">
        <v>89</v>
      </c>
      <c r="B52" s="147" t="s">
        <v>121</v>
      </c>
      <c r="C52" s="146">
        <v>114752</v>
      </c>
      <c r="D52" s="145" t="s">
        <v>164</v>
      </c>
      <c r="E52" s="146" t="s">
        <v>29</v>
      </c>
      <c r="F52" s="108"/>
      <c r="G52" s="78"/>
      <c r="H52" s="149" t="s">
        <v>101</v>
      </c>
      <c r="I52" s="151" t="s">
        <v>88</v>
      </c>
    </row>
    <row r="53" spans="1:13" ht="15" customHeight="1">
      <c r="A53" s="147" t="s">
        <v>89</v>
      </c>
      <c r="B53" s="147" t="s">
        <v>125</v>
      </c>
      <c r="C53" s="146">
        <v>124905</v>
      </c>
      <c r="D53" s="145" t="s">
        <v>165</v>
      </c>
      <c r="E53" s="146" t="s">
        <v>104</v>
      </c>
      <c r="F53" s="108"/>
      <c r="G53" s="78"/>
      <c r="H53" s="149" t="s">
        <v>101</v>
      </c>
      <c r="I53" s="151" t="s">
        <v>88</v>
      </c>
    </row>
    <row r="54" spans="1:13">
      <c r="A54" s="147" t="s">
        <v>89</v>
      </c>
      <c r="B54" s="147" t="s">
        <v>125</v>
      </c>
      <c r="C54" s="146">
        <v>165694</v>
      </c>
      <c r="D54" s="145" t="s">
        <v>166</v>
      </c>
      <c r="E54" s="146" t="s">
        <v>29</v>
      </c>
      <c r="F54" s="108"/>
      <c r="G54" s="78"/>
      <c r="H54" s="149" t="s">
        <v>101</v>
      </c>
      <c r="I54" s="151" t="s">
        <v>88</v>
      </c>
    </row>
    <row r="55" spans="1:13">
      <c r="A55" s="147" t="s">
        <v>89</v>
      </c>
      <c r="B55" s="147" t="s">
        <v>121</v>
      </c>
      <c r="C55" s="146">
        <v>108446</v>
      </c>
      <c r="D55" s="145" t="s">
        <v>167</v>
      </c>
      <c r="E55" s="146" t="s">
        <v>107</v>
      </c>
      <c r="F55" s="108"/>
      <c r="G55" s="78"/>
      <c r="H55" s="149" t="s">
        <v>101</v>
      </c>
      <c r="I55" s="151" t="s">
        <v>88</v>
      </c>
    </row>
    <row r="56" spans="1:13">
      <c r="A56" s="147" t="s">
        <v>89</v>
      </c>
      <c r="B56" s="147" t="s">
        <v>116</v>
      </c>
      <c r="C56" s="146">
        <v>129165</v>
      </c>
      <c r="D56" s="145" t="s">
        <v>168</v>
      </c>
      <c r="E56" s="146" t="s">
        <v>29</v>
      </c>
      <c r="F56" s="108"/>
      <c r="G56" s="78"/>
      <c r="H56" s="149" t="s">
        <v>101</v>
      </c>
      <c r="I56" s="151" t="s">
        <v>88</v>
      </c>
    </row>
    <row r="57" spans="1:13">
      <c r="A57" s="147" t="s">
        <v>136</v>
      </c>
      <c r="B57" s="147" t="s">
        <v>141</v>
      </c>
      <c r="C57" s="146">
        <v>138066</v>
      </c>
      <c r="D57" s="145" t="s">
        <v>169</v>
      </c>
      <c r="E57" s="146" t="s">
        <v>29</v>
      </c>
      <c r="F57" s="108"/>
      <c r="G57" s="78"/>
      <c r="H57" s="149" t="s">
        <v>101</v>
      </c>
      <c r="I57" s="150" t="s">
        <v>105</v>
      </c>
    </row>
    <row r="58" spans="1:13">
      <c r="A58" s="147" t="s">
        <v>136</v>
      </c>
      <c r="B58" s="147" t="s">
        <v>139</v>
      </c>
      <c r="C58" s="146">
        <v>5213</v>
      </c>
      <c r="D58" s="145" t="s">
        <v>170</v>
      </c>
      <c r="E58" s="146" t="s">
        <v>29</v>
      </c>
      <c r="F58" s="108"/>
      <c r="G58" s="78"/>
      <c r="H58" s="149" t="s">
        <v>101</v>
      </c>
      <c r="I58" s="151" t="s">
        <v>88</v>
      </c>
    </row>
    <row r="61" spans="1:13">
      <c r="A61" s="80" t="s">
        <v>128</v>
      </c>
      <c r="B61" s="32"/>
      <c r="C61" s="32"/>
      <c r="D61" s="80"/>
      <c r="E61" s="32"/>
      <c r="F61" s="32"/>
      <c r="G61" s="32"/>
    </row>
    <row r="62" spans="1:13">
      <c r="A62" s="34" t="s">
        <v>76</v>
      </c>
      <c r="B62" s="34" t="s">
        <v>77</v>
      </c>
      <c r="C62" s="34" t="s">
        <v>78</v>
      </c>
      <c r="D62" s="43" t="s">
        <v>79</v>
      </c>
      <c r="E62" s="34" t="s">
        <v>80</v>
      </c>
      <c r="F62" s="60" t="s">
        <v>81</v>
      </c>
      <c r="G62" s="35" t="s">
        <v>100</v>
      </c>
      <c r="H62" s="148" t="s">
        <v>101</v>
      </c>
      <c r="I62" s="148" t="s">
        <v>82</v>
      </c>
    </row>
    <row r="63" spans="1:13">
      <c r="A63" s="147" t="s">
        <v>89</v>
      </c>
      <c r="B63" s="147" t="s">
        <v>102</v>
      </c>
      <c r="C63" s="146">
        <v>166357</v>
      </c>
      <c r="D63" s="145" t="s">
        <v>171</v>
      </c>
      <c r="E63" s="146" t="s">
        <v>29</v>
      </c>
      <c r="F63" s="76"/>
      <c r="G63" s="156"/>
      <c r="H63" s="149" t="s">
        <v>101</v>
      </c>
      <c r="I63" s="151" t="s">
        <v>88</v>
      </c>
      <c r="J63" s="63"/>
      <c r="K63" s="63"/>
      <c r="L63" s="63"/>
      <c r="M63" s="63"/>
    </row>
    <row r="64" spans="1:13">
      <c r="A64" s="147" t="s">
        <v>136</v>
      </c>
      <c r="B64" s="147" t="s">
        <v>137</v>
      </c>
      <c r="C64" s="146">
        <v>141553</v>
      </c>
      <c r="D64" s="145" t="s">
        <v>172</v>
      </c>
      <c r="E64" s="146" t="s">
        <v>29</v>
      </c>
      <c r="F64" s="76"/>
      <c r="G64" s="156"/>
      <c r="H64" s="149" t="s">
        <v>101</v>
      </c>
      <c r="I64" s="150" t="s">
        <v>105</v>
      </c>
      <c r="J64" s="63"/>
      <c r="K64" s="63"/>
      <c r="L64" s="63"/>
      <c r="M64" s="63"/>
    </row>
    <row r="65" spans="1:13" ht="17.25" customHeight="1">
      <c r="A65" s="147" t="s">
        <v>136</v>
      </c>
      <c r="B65" s="147" t="s">
        <v>141</v>
      </c>
      <c r="C65" s="146">
        <v>5343</v>
      </c>
      <c r="D65" s="145" t="s">
        <v>173</v>
      </c>
      <c r="E65" s="146" t="s">
        <v>29</v>
      </c>
      <c r="F65" s="76"/>
      <c r="G65" s="156"/>
      <c r="H65" s="149" t="s">
        <v>101</v>
      </c>
      <c r="I65" s="151" t="s">
        <v>88</v>
      </c>
      <c r="J65" s="63"/>
      <c r="K65" s="63"/>
      <c r="L65" s="63"/>
      <c r="M65" s="63"/>
    </row>
    <row r="66" spans="1:13">
      <c r="A66" s="147" t="s">
        <v>136</v>
      </c>
      <c r="B66" s="147" t="s">
        <v>141</v>
      </c>
      <c r="C66" s="146">
        <v>5747</v>
      </c>
      <c r="D66" s="145" t="s">
        <v>174</v>
      </c>
      <c r="E66" s="146" t="s">
        <v>29</v>
      </c>
      <c r="F66" s="76"/>
      <c r="G66" s="156"/>
      <c r="H66" s="149" t="s">
        <v>101</v>
      </c>
      <c r="I66" s="151" t="s">
        <v>88</v>
      </c>
      <c r="J66" s="63"/>
      <c r="K66" s="63"/>
      <c r="L66" s="63"/>
      <c r="M66" s="63"/>
    </row>
    <row r="67" spans="1:13">
      <c r="A67" s="147" t="s">
        <v>136</v>
      </c>
      <c r="B67" s="147" t="s">
        <v>141</v>
      </c>
      <c r="C67" s="146">
        <v>5885</v>
      </c>
      <c r="D67" s="145" t="s">
        <v>175</v>
      </c>
      <c r="E67" s="146" t="s">
        <v>29</v>
      </c>
      <c r="F67" s="76"/>
      <c r="G67" s="42"/>
      <c r="H67" s="149" t="s">
        <v>101</v>
      </c>
      <c r="I67" s="150" t="s">
        <v>105</v>
      </c>
      <c r="J67" s="63"/>
      <c r="K67" s="63"/>
      <c r="L67" s="63"/>
      <c r="M67" s="63"/>
    </row>
    <row r="68" spans="1:13">
      <c r="A68" s="147" t="s">
        <v>89</v>
      </c>
      <c r="B68" s="147" t="s">
        <v>116</v>
      </c>
      <c r="C68" s="146">
        <v>136865</v>
      </c>
      <c r="D68" s="145" t="s">
        <v>176</v>
      </c>
      <c r="E68" s="146" t="s">
        <v>29</v>
      </c>
      <c r="F68" s="78"/>
      <c r="G68" s="42"/>
      <c r="H68" s="149" t="s">
        <v>101</v>
      </c>
      <c r="I68" s="151" t="s">
        <v>88</v>
      </c>
    </row>
    <row r="69" spans="1:13">
      <c r="A69" s="147" t="s">
        <v>89</v>
      </c>
      <c r="B69" s="147" t="s">
        <v>116</v>
      </c>
      <c r="C69" s="146">
        <v>137569</v>
      </c>
      <c r="D69" s="145" t="s">
        <v>177</v>
      </c>
      <c r="E69" s="146" t="s">
        <v>29</v>
      </c>
      <c r="F69" s="108"/>
      <c r="G69" s="78"/>
      <c r="H69" s="149" t="s">
        <v>101</v>
      </c>
      <c r="I69" s="150" t="s">
        <v>105</v>
      </c>
    </row>
    <row r="70" spans="1:13">
      <c r="A70" s="147" t="s">
        <v>89</v>
      </c>
      <c r="B70" s="147" t="s">
        <v>116</v>
      </c>
      <c r="C70" s="154">
        <v>175354</v>
      </c>
      <c r="D70" s="145" t="s">
        <v>178</v>
      </c>
      <c r="E70" s="146" t="s">
        <v>29</v>
      </c>
      <c r="F70" s="108"/>
      <c r="G70" s="78"/>
      <c r="H70" s="149" t="s">
        <v>101</v>
      </c>
      <c r="I70" s="151" t="s">
        <v>88</v>
      </c>
    </row>
    <row r="71" spans="1:13">
      <c r="A71" s="147" t="s">
        <v>136</v>
      </c>
      <c r="B71" s="147" t="s">
        <v>141</v>
      </c>
      <c r="C71" s="146">
        <v>150798</v>
      </c>
      <c r="D71" s="145" t="s">
        <v>144</v>
      </c>
      <c r="E71" s="146" t="s">
        <v>29</v>
      </c>
      <c r="F71" s="108"/>
      <c r="G71" s="78"/>
      <c r="H71" s="149" t="s">
        <v>179</v>
      </c>
      <c r="I71" s="152" t="s">
        <v>88</v>
      </c>
    </row>
    <row r="72" spans="1:13" ht="15" customHeight="1">
      <c r="A72" s="147" t="s">
        <v>89</v>
      </c>
      <c r="B72" s="147" t="s">
        <v>116</v>
      </c>
      <c r="C72" s="146">
        <v>177250</v>
      </c>
      <c r="D72" s="145" t="s">
        <v>117</v>
      </c>
      <c r="E72" s="146" t="s">
        <v>118</v>
      </c>
      <c r="F72" s="108"/>
      <c r="G72" s="78"/>
      <c r="H72" s="149" t="s">
        <v>180</v>
      </c>
      <c r="I72" s="152" t="s">
        <v>88</v>
      </c>
    </row>
    <row r="75" spans="1:13">
      <c r="A75" s="80" t="s">
        <v>181</v>
      </c>
      <c r="B75" s="32"/>
      <c r="C75" s="32"/>
      <c r="D75" s="80"/>
      <c r="E75" s="32"/>
      <c r="F75" s="32"/>
      <c r="G75" s="32"/>
    </row>
    <row r="76" spans="1:13">
      <c r="A76" s="34" t="s">
        <v>76</v>
      </c>
      <c r="B76" s="34" t="s">
        <v>77</v>
      </c>
      <c r="C76" s="34" t="s">
        <v>78</v>
      </c>
      <c r="D76" s="34" t="s">
        <v>79</v>
      </c>
      <c r="E76" s="34" t="s">
        <v>80</v>
      </c>
      <c r="F76" s="60" t="s">
        <v>81</v>
      </c>
      <c r="G76" s="35" t="s">
        <v>100</v>
      </c>
      <c r="H76" s="159" t="s">
        <v>101</v>
      </c>
      <c r="I76" s="159" t="s">
        <v>82</v>
      </c>
    </row>
    <row r="77" spans="1:13">
      <c r="A77" s="160" t="s">
        <v>83</v>
      </c>
      <c r="B77" s="160" t="s">
        <v>83</v>
      </c>
      <c r="C77" s="158">
        <v>177952</v>
      </c>
      <c r="D77" s="145" t="s">
        <v>85</v>
      </c>
      <c r="E77" s="146" t="s">
        <v>182</v>
      </c>
      <c r="F77" s="145" t="s">
        <v>87</v>
      </c>
      <c r="G77" s="145" t="s">
        <v>183</v>
      </c>
      <c r="H77" s="146"/>
      <c r="I77" s="146" t="s">
        <v>88</v>
      </c>
      <c r="J77" s="63"/>
      <c r="K77" s="63"/>
      <c r="L77" s="63"/>
      <c r="M77" s="63"/>
    </row>
    <row r="78" spans="1:13">
      <c r="A78" s="160" t="s">
        <v>83</v>
      </c>
      <c r="B78" s="160" t="s">
        <v>83</v>
      </c>
      <c r="C78" s="158">
        <v>179825</v>
      </c>
      <c r="D78" s="145" t="s">
        <v>184</v>
      </c>
      <c r="E78" s="146" t="s">
        <v>182</v>
      </c>
      <c r="F78" s="145" t="s">
        <v>185</v>
      </c>
      <c r="G78" s="145" t="s">
        <v>183</v>
      </c>
      <c r="H78" s="146"/>
      <c r="I78" s="146" t="s">
        <v>88</v>
      </c>
      <c r="J78" s="63"/>
      <c r="K78" s="63"/>
      <c r="L78" s="63"/>
      <c r="M78" s="63"/>
    </row>
    <row r="79" spans="1:13" ht="17.25" customHeight="1">
      <c r="A79" s="160" t="s">
        <v>83</v>
      </c>
      <c r="B79" s="160" t="s">
        <v>83</v>
      </c>
      <c r="C79" s="158">
        <v>149915</v>
      </c>
      <c r="D79" s="145" t="s">
        <v>186</v>
      </c>
      <c r="E79" s="146" t="s">
        <v>187</v>
      </c>
      <c r="F79" s="145" t="s">
        <v>188</v>
      </c>
      <c r="G79" s="145" t="s">
        <v>183</v>
      </c>
      <c r="H79" s="146"/>
      <c r="I79" s="146" t="s">
        <v>88</v>
      </c>
      <c r="J79" s="63"/>
      <c r="K79" s="63"/>
      <c r="L79" s="63"/>
      <c r="M79" s="63"/>
    </row>
    <row r="81" spans="1:13">
      <c r="A81" s="80" t="s">
        <v>189</v>
      </c>
      <c r="B81" s="32"/>
      <c r="C81" s="32"/>
      <c r="D81" s="80"/>
      <c r="E81" s="32"/>
      <c r="F81" s="32"/>
      <c r="G81" s="32"/>
    </row>
    <row r="82" spans="1:13">
      <c r="A82" s="34" t="s">
        <v>76</v>
      </c>
      <c r="B82" s="34" t="s">
        <v>77</v>
      </c>
      <c r="C82" s="34" t="s">
        <v>78</v>
      </c>
      <c r="D82" s="34" t="s">
        <v>79</v>
      </c>
      <c r="E82" s="34" t="s">
        <v>80</v>
      </c>
      <c r="F82" s="60" t="s">
        <v>81</v>
      </c>
      <c r="G82" s="35" t="s">
        <v>100</v>
      </c>
      <c r="H82" s="159" t="s">
        <v>101</v>
      </c>
      <c r="I82" s="159" t="s">
        <v>82</v>
      </c>
    </row>
    <row r="83" spans="1:13">
      <c r="A83" s="160" t="s">
        <v>83</v>
      </c>
      <c r="B83" s="147" t="s">
        <v>83</v>
      </c>
      <c r="C83" s="158">
        <v>156227</v>
      </c>
      <c r="D83" s="145" t="s">
        <v>190</v>
      </c>
      <c r="E83" s="146" t="s">
        <v>182</v>
      </c>
      <c r="F83" s="161" t="s">
        <v>191</v>
      </c>
      <c r="G83" s="145" t="s">
        <v>192</v>
      </c>
      <c r="H83" s="146"/>
      <c r="I83" s="146" t="s">
        <v>88</v>
      </c>
      <c r="J83" s="63"/>
      <c r="K83" s="63"/>
      <c r="L83" s="63"/>
      <c r="M83" s="63"/>
    </row>
    <row r="84" spans="1:13">
      <c r="A84" s="160" t="s">
        <v>83</v>
      </c>
      <c r="B84" s="147" t="s">
        <v>83</v>
      </c>
      <c r="C84" s="158">
        <v>181231</v>
      </c>
      <c r="D84" s="145" t="s">
        <v>193</v>
      </c>
      <c r="E84" s="146" t="s">
        <v>182</v>
      </c>
      <c r="F84" s="161" t="s">
        <v>194</v>
      </c>
      <c r="G84" s="145" t="s">
        <v>192</v>
      </c>
      <c r="H84" s="146"/>
      <c r="I84" s="146" t="s">
        <v>88</v>
      </c>
      <c r="J84" s="63"/>
      <c r="K84" s="63"/>
      <c r="L84" s="63"/>
      <c r="M84" s="63"/>
    </row>
    <row r="85" spans="1:13" ht="17.25" customHeight="1">
      <c r="A85" s="160" t="s">
        <v>83</v>
      </c>
      <c r="B85" s="147" t="s">
        <v>83</v>
      </c>
      <c r="C85" s="158">
        <v>151149</v>
      </c>
      <c r="D85" s="145" t="s">
        <v>195</v>
      </c>
      <c r="E85" s="146" t="s">
        <v>187</v>
      </c>
      <c r="F85" s="161" t="s">
        <v>196</v>
      </c>
      <c r="G85" s="145" t="s">
        <v>192</v>
      </c>
      <c r="H85" s="146"/>
      <c r="I85" s="146" t="s">
        <v>88</v>
      </c>
      <c r="J85" s="63"/>
      <c r="K85" s="63"/>
      <c r="L85" s="63"/>
      <c r="M85" s="63"/>
    </row>
  </sheetData>
  <phoneticPr fontId="18" type="noConversion"/>
  <conditionalFormatting sqref="C6">
    <cfRule type="duplicateValues" dxfId="136" priority="162"/>
    <cfRule type="duplicateValues" dxfId="135" priority="161"/>
    <cfRule type="duplicateValues" dxfId="134" priority="160"/>
  </conditionalFormatting>
  <conditionalFormatting sqref="C7">
    <cfRule type="duplicateValues" dxfId="133" priority="163"/>
  </conditionalFormatting>
  <conditionalFormatting sqref="C7:C17 C3:C5">
    <cfRule type="duplicateValues" dxfId="132" priority="165"/>
    <cfRule type="containsText" dxfId="131" priority="164" operator="containsText" text="No">
      <formula>NOT(ISERROR(SEARCH("No",C3)))</formula>
    </cfRule>
  </conditionalFormatting>
  <conditionalFormatting sqref="C22:C23 C27:C36">
    <cfRule type="duplicateValues" dxfId="130" priority="141"/>
  </conditionalFormatting>
  <conditionalFormatting sqref="C22:C23">
    <cfRule type="containsText" dxfId="129" priority="140" operator="containsText" text="No">
      <formula>NOT(ISERROR(SEARCH("No",C22)))</formula>
    </cfRule>
  </conditionalFormatting>
  <conditionalFormatting sqref="C24">
    <cfRule type="duplicateValues" dxfId="128" priority="138"/>
    <cfRule type="duplicateValues" dxfId="127" priority="139"/>
    <cfRule type="duplicateValues" dxfId="126" priority="137"/>
  </conditionalFormatting>
  <conditionalFormatting sqref="C25">
    <cfRule type="containsText" dxfId="125" priority="135" operator="containsText" text="No">
      <formula>NOT(ISERROR(SEARCH("No",C25)))</formula>
    </cfRule>
    <cfRule type="duplicateValues" dxfId="124" priority="136"/>
  </conditionalFormatting>
  <conditionalFormatting sqref="C27:C39">
    <cfRule type="containsText" dxfId="123" priority="131" operator="containsText" text="No">
      <formula>NOT(ISERROR(SEARCH("No",C27)))</formula>
    </cfRule>
  </conditionalFormatting>
  <conditionalFormatting sqref="C37">
    <cfRule type="duplicateValues" dxfId="122" priority="134"/>
  </conditionalFormatting>
  <conditionalFormatting sqref="C38">
    <cfRule type="duplicateValues" dxfId="121" priority="133"/>
  </conditionalFormatting>
  <conditionalFormatting sqref="C39">
    <cfRule type="duplicateValues" dxfId="120" priority="132"/>
  </conditionalFormatting>
  <conditionalFormatting sqref="C44:C54 C56:C58">
    <cfRule type="duplicateValues" dxfId="119" priority="100"/>
  </conditionalFormatting>
  <conditionalFormatting sqref="C44:C58">
    <cfRule type="containsText" dxfId="118" priority="99" operator="containsText" text="No">
      <formula>NOT(ISERROR(SEARCH("No",C44)))</formula>
    </cfRule>
  </conditionalFormatting>
  <conditionalFormatting sqref="C48">
    <cfRule type="duplicateValues" dxfId="117" priority="101"/>
  </conditionalFormatting>
  <conditionalFormatting sqref="C55">
    <cfRule type="duplicateValues" dxfId="116" priority="102"/>
  </conditionalFormatting>
  <conditionalFormatting sqref="C63">
    <cfRule type="duplicateValues" dxfId="115" priority="61"/>
  </conditionalFormatting>
  <conditionalFormatting sqref="C63:C71">
    <cfRule type="containsText" dxfId="114" priority="59" operator="containsText" text="No">
      <formula>NOT(ISERROR(SEARCH("No",C63)))</formula>
    </cfRule>
  </conditionalFormatting>
  <conditionalFormatting sqref="C64:C70">
    <cfRule type="duplicateValues" dxfId="113" priority="62"/>
  </conditionalFormatting>
  <conditionalFormatting sqref="C67">
    <cfRule type="duplicateValues" dxfId="112" priority="63"/>
  </conditionalFormatting>
  <conditionalFormatting sqref="C71">
    <cfRule type="duplicateValues" dxfId="111" priority="52"/>
    <cfRule type="duplicateValues" dxfId="110" priority="60"/>
  </conditionalFormatting>
  <conditionalFormatting sqref="C71:C72">
    <cfRule type="duplicateValues" dxfId="109" priority="54"/>
    <cfRule type="containsText" dxfId="108" priority="53" operator="containsText" text="No">
      <formula>NOT(ISERROR(SEARCH("No",C71)))</formula>
    </cfRule>
    <cfRule type="containsText" dxfId="107" priority="50" operator="containsText" text="No">
      <formula>NOT(ISERROR(SEARCH("No",C71)))</formula>
    </cfRule>
    <cfRule type="containsText" dxfId="106" priority="57" operator="containsText" text="No">
      <formula>NOT(ISERROR(SEARCH("No",C71)))</formula>
    </cfRule>
    <cfRule type="duplicateValues" dxfId="105" priority="58"/>
  </conditionalFormatting>
  <conditionalFormatting sqref="C72">
    <cfRule type="duplicateValues" dxfId="104" priority="56"/>
    <cfRule type="containsText" dxfId="103" priority="55" operator="containsText" text="No">
      <formula>NOT(ISERROR(SEARCH("No",C72)))</formula>
    </cfRule>
    <cfRule type="duplicateValues" dxfId="102" priority="51"/>
  </conditionalFormatting>
  <conditionalFormatting sqref="C77:C79 E77:E79">
    <cfRule type="containsText" dxfId="101" priority="15" operator="containsText" text="No">
      <formula>NOT(ISERROR(SEARCH("No",C77)))</formula>
    </cfRule>
  </conditionalFormatting>
  <conditionalFormatting sqref="C77:C79">
    <cfRule type="duplicateValues" dxfId="100" priority="16"/>
  </conditionalFormatting>
  <conditionalFormatting sqref="C83:C85 E83:E84">
    <cfRule type="containsText" dxfId="99" priority="5" operator="containsText" text="No">
      <formula>NOT(ISERROR(SEARCH("No",C83)))</formula>
    </cfRule>
  </conditionalFormatting>
  <conditionalFormatting sqref="C83:C85">
    <cfRule type="duplicateValues" dxfId="98" priority="1"/>
  </conditionalFormatting>
  <conditionalFormatting sqref="D3:D17">
    <cfRule type="duplicateValues" dxfId="97" priority="156"/>
    <cfRule type="duplicateValues" dxfId="96" priority="157"/>
  </conditionalFormatting>
  <conditionalFormatting sqref="D5:D6">
    <cfRule type="duplicateValues" dxfId="95" priority="155"/>
  </conditionalFormatting>
  <conditionalFormatting sqref="D7">
    <cfRule type="duplicateValues" dxfId="94" priority="158"/>
    <cfRule type="duplicateValues" dxfId="93" priority="159"/>
  </conditionalFormatting>
  <conditionalFormatting sqref="D22:D23 D27:D36">
    <cfRule type="duplicateValues" dxfId="92" priority="129"/>
  </conditionalFormatting>
  <conditionalFormatting sqref="D22:D23">
    <cfRule type="duplicateValues" dxfId="91" priority="130"/>
  </conditionalFormatting>
  <conditionalFormatting sqref="D24">
    <cfRule type="duplicateValues" dxfId="90" priority="126"/>
    <cfRule type="duplicateValues" dxfId="89" priority="127"/>
    <cfRule type="duplicateValues" dxfId="88" priority="128"/>
  </conditionalFormatting>
  <conditionalFormatting sqref="D25">
    <cfRule type="duplicateValues" dxfId="87" priority="125"/>
    <cfRule type="duplicateValues" dxfId="86" priority="124"/>
  </conditionalFormatting>
  <conditionalFormatting sqref="D26">
    <cfRule type="duplicateValues" dxfId="85" priority="123"/>
    <cfRule type="duplicateValues" dxfId="84" priority="122"/>
  </conditionalFormatting>
  <conditionalFormatting sqref="D37">
    <cfRule type="duplicateValues" dxfId="83" priority="120"/>
    <cfRule type="duplicateValues" dxfId="82" priority="121"/>
  </conditionalFormatting>
  <conditionalFormatting sqref="D38">
    <cfRule type="duplicateValues" dxfId="81" priority="118"/>
    <cfRule type="duplicateValues" dxfId="80" priority="119"/>
  </conditionalFormatting>
  <conditionalFormatting sqref="D39">
    <cfRule type="duplicateValues" dxfId="79" priority="117"/>
    <cfRule type="duplicateValues" dxfId="78" priority="116"/>
  </conditionalFormatting>
  <conditionalFormatting sqref="D44:D54 D56:D58">
    <cfRule type="duplicateValues" dxfId="77" priority="95"/>
  </conditionalFormatting>
  <conditionalFormatting sqref="D44:D54">
    <cfRule type="duplicateValues" dxfId="76" priority="96"/>
  </conditionalFormatting>
  <conditionalFormatting sqref="D45:D47">
    <cfRule type="duplicateValues" dxfId="75" priority="94"/>
  </conditionalFormatting>
  <conditionalFormatting sqref="D48">
    <cfRule type="duplicateValues" dxfId="74" priority="97"/>
    <cfRule type="duplicateValues" dxfId="73" priority="98"/>
  </conditionalFormatting>
  <conditionalFormatting sqref="D55">
    <cfRule type="duplicateValues" dxfId="72" priority="92"/>
    <cfRule type="duplicateValues" dxfId="71" priority="93"/>
  </conditionalFormatting>
  <conditionalFormatting sqref="D63">
    <cfRule type="duplicateValues" dxfId="70" priority="44"/>
    <cfRule type="duplicateValues" dxfId="69" priority="43"/>
  </conditionalFormatting>
  <conditionalFormatting sqref="D64:D70">
    <cfRule type="duplicateValues" dxfId="68" priority="47"/>
    <cfRule type="duplicateValues" dxfId="67" priority="46"/>
  </conditionalFormatting>
  <conditionalFormatting sqref="D65:D66">
    <cfRule type="duplicateValues" dxfId="66" priority="45"/>
  </conditionalFormatting>
  <conditionalFormatting sqref="D67">
    <cfRule type="duplicateValues" dxfId="65" priority="49"/>
    <cfRule type="duplicateValues" dxfId="64" priority="48"/>
  </conditionalFormatting>
  <conditionalFormatting sqref="D71">
    <cfRule type="duplicateValues" dxfId="63" priority="34"/>
    <cfRule type="duplicateValues" dxfId="62" priority="42"/>
    <cfRule type="duplicateValues" dxfId="61" priority="41"/>
    <cfRule type="duplicateValues" dxfId="60" priority="35"/>
  </conditionalFormatting>
  <conditionalFormatting sqref="D71:D72">
    <cfRule type="duplicateValues" dxfId="59" priority="39"/>
    <cfRule type="duplicateValues" dxfId="58" priority="36"/>
    <cfRule type="duplicateValues" dxfId="57" priority="40"/>
  </conditionalFormatting>
  <conditionalFormatting sqref="D72">
    <cfRule type="duplicateValues" dxfId="56" priority="38"/>
    <cfRule type="duplicateValues" dxfId="55" priority="37"/>
    <cfRule type="duplicateValues" dxfId="54" priority="32"/>
    <cfRule type="duplicateValues" dxfId="53" priority="31"/>
  </conditionalFormatting>
  <conditionalFormatting sqref="D77:D78">
    <cfRule type="duplicateValues" dxfId="52" priority="12"/>
  </conditionalFormatting>
  <conditionalFormatting sqref="D85">
    <cfRule type="duplicateValues" dxfId="51" priority="3"/>
  </conditionalFormatting>
  <conditionalFormatting sqref="E3:E17">
    <cfRule type="containsText" dxfId="50" priority="154" operator="containsText" text="No">
      <formula>NOT(ISERROR(SEARCH("No",E3)))</formula>
    </cfRule>
  </conditionalFormatting>
  <conditionalFormatting sqref="E22:E39">
    <cfRule type="containsText" dxfId="49" priority="115" operator="containsText" text="No">
      <formula>NOT(ISERROR(SEARCH("No",E22)))</formula>
    </cfRule>
  </conditionalFormatting>
  <conditionalFormatting sqref="E44:E58">
    <cfRule type="containsText" dxfId="48" priority="91" operator="containsText" text="No">
      <formula>NOT(ISERROR(SEARCH("No",E44)))</formula>
    </cfRule>
  </conditionalFormatting>
  <conditionalFormatting sqref="E63:E72">
    <cfRule type="containsText" dxfId="47" priority="33" operator="containsText" text="No">
      <formula>NOT(ISERROR(SEARCH("No",E63)))</formula>
    </cfRule>
  </conditionalFormatting>
  <conditionalFormatting sqref="F77:F78">
    <cfRule type="duplicateValues" dxfId="46" priority="172"/>
  </conditionalFormatting>
  <conditionalFormatting sqref="F79 D79">
    <cfRule type="duplicateValues" dxfId="45" priority="170"/>
    <cfRule type="duplicateValues" dxfId="44" priority="171"/>
  </conditionalFormatting>
  <conditionalFormatting sqref="F83:F85 D83:D84">
    <cfRule type="duplicateValues" dxfId="43" priority="2"/>
  </conditionalFormatting>
  <conditionalFormatting sqref="F83:F85 D83:D85">
    <cfRule type="duplicateValues" dxfId="42" priority="4"/>
  </conditionalFormatting>
  <hyperlinks>
    <hyperlink ref="F84" r:id="rId1" xr:uid="{56FDA65F-3F24-4F4D-A830-745A8DAE6DFF}"/>
    <hyperlink ref="F83" r:id="rId2" xr:uid="{F23B1679-AFE5-4965-87E8-C36491C83E0C}"/>
  </hyperlinks>
  <pageMargins left="0.7" right="0.7" top="0.75" bottom="0.75" header="0.3" footer="0.3"/>
  <pageSetup paperSize="9" scale="86" orientation="landscape"/>
  <headerFooter>
    <oddFooter>&amp;C_x000D_&amp;1#&amp;"Calibri"&amp;10&amp;K000000 Restricted : General Al-Futtaim Group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E1C1-94E8-49FE-AAD8-3B08931642D5}">
  <sheetPr>
    <pageSetUpPr fitToPage="1"/>
  </sheetPr>
  <dimension ref="A1:M8"/>
  <sheetViews>
    <sheetView zoomScale="70" zoomScaleNormal="70" workbookViewId="0">
      <selection sqref="A1:XFD9"/>
    </sheetView>
  </sheetViews>
  <sheetFormatPr defaultColWidth="8.54296875" defaultRowHeight="15.5"/>
  <cols>
    <col min="1" max="1" width="14.453125" style="33" customWidth="1"/>
    <col min="2" max="2" width="15" style="33" customWidth="1"/>
    <col min="3" max="3" width="34.453125" style="33" customWidth="1"/>
    <col min="4" max="4" width="31.36328125" style="33" customWidth="1"/>
    <col min="5" max="5" width="14.54296875" style="33" customWidth="1"/>
    <col min="6" max="6" width="17.6328125" style="39" customWidth="1"/>
    <col min="7" max="7" width="15.453125" style="33" customWidth="1"/>
    <col min="8" max="8" width="8.54296875" style="33"/>
    <col min="9" max="9" width="10.453125" style="33" customWidth="1"/>
    <col min="10" max="12" width="8.54296875" style="33"/>
    <col min="13" max="13" width="11.6328125" style="33" customWidth="1"/>
    <col min="14" max="16384" width="8.54296875" style="33"/>
  </cols>
  <sheetData>
    <row r="1" spans="1:13">
      <c r="A1" s="80"/>
      <c r="B1" s="32"/>
      <c r="C1" s="32"/>
      <c r="D1" s="80"/>
      <c r="E1" s="32"/>
      <c r="F1" s="32"/>
      <c r="G1" s="32"/>
    </row>
    <row r="2" spans="1:13">
      <c r="A2" s="34" t="s">
        <v>76</v>
      </c>
      <c r="B2" s="34" t="s">
        <v>77</v>
      </c>
      <c r="C2" s="34" t="s">
        <v>78</v>
      </c>
      <c r="D2" s="43" t="s">
        <v>79</v>
      </c>
      <c r="E2" s="34" t="s">
        <v>80</v>
      </c>
      <c r="F2" s="60" t="s">
        <v>81</v>
      </c>
      <c r="G2" s="35" t="s">
        <v>100</v>
      </c>
      <c r="I2" s="41"/>
    </row>
    <row r="3" spans="1:13">
      <c r="A3" s="93"/>
      <c r="B3" s="94"/>
      <c r="C3" s="94"/>
      <c r="D3" s="95"/>
      <c r="E3" s="36"/>
      <c r="F3" s="61"/>
      <c r="G3" s="176"/>
      <c r="H3" s="44"/>
      <c r="I3" s="44"/>
      <c r="J3" s="63"/>
      <c r="K3" s="63"/>
      <c r="L3" s="63"/>
      <c r="M3" s="63"/>
    </row>
    <row r="4" spans="1:13">
      <c r="A4" s="93"/>
      <c r="B4" s="94"/>
      <c r="C4" s="94"/>
      <c r="D4" s="95"/>
      <c r="E4" s="36"/>
      <c r="F4" s="61"/>
      <c r="G4" s="176"/>
      <c r="H4" s="44"/>
      <c r="I4" s="44"/>
      <c r="J4" s="63"/>
      <c r="K4" s="63"/>
      <c r="L4" s="63"/>
      <c r="M4" s="63"/>
    </row>
    <row r="5" spans="1:13" ht="17.25" customHeight="1">
      <c r="A5" s="93"/>
      <c r="B5" s="94"/>
      <c r="C5" s="94"/>
      <c r="D5" s="95"/>
      <c r="E5" s="36"/>
      <c r="F5" s="61"/>
      <c r="G5" s="176"/>
      <c r="H5" s="73"/>
      <c r="I5" s="44"/>
      <c r="J5" s="63"/>
      <c r="K5" s="63"/>
      <c r="L5" s="63"/>
      <c r="M5" s="63"/>
    </row>
    <row r="6" spans="1:13">
      <c r="A6" s="93"/>
      <c r="B6" s="94"/>
      <c r="C6" s="94"/>
      <c r="D6" s="95"/>
      <c r="E6" s="36"/>
      <c r="F6" s="61"/>
      <c r="G6" s="176"/>
      <c r="H6" s="44"/>
      <c r="I6" s="44"/>
      <c r="J6" s="63"/>
      <c r="K6" s="63"/>
      <c r="L6" s="63"/>
      <c r="M6" s="63"/>
    </row>
    <row r="7" spans="1:13">
      <c r="A7" s="101"/>
      <c r="B7" s="102"/>
      <c r="C7" s="102"/>
      <c r="D7" s="79"/>
      <c r="E7" s="41"/>
      <c r="F7" s="44"/>
      <c r="G7" s="41"/>
      <c r="H7" s="44"/>
      <c r="I7" s="44"/>
      <c r="J7" s="63"/>
      <c r="K7" s="63"/>
      <c r="L7" s="63"/>
      <c r="M7" s="63"/>
    </row>
    <row r="8" spans="1:13">
      <c r="C8" s="33" t="s">
        <v>197</v>
      </c>
    </row>
  </sheetData>
  <sortState xmlns:xlrd2="http://schemas.microsoft.com/office/spreadsheetml/2017/richdata2" ref="A8:F26">
    <sortCondition ref="F8:F26"/>
  </sortState>
  <phoneticPr fontId="18" type="noConversion"/>
  <pageMargins left="0.7" right="0.7" top="0.75" bottom="0.75" header="0.3" footer="0.3"/>
  <pageSetup paperSize="9" scale="86" orientation="landscape" r:id="rId1"/>
  <headerFooter>
    <oddFooter>&amp;C_x000D_&amp;1#&amp;"Calibri"&amp;10&amp;K000000 Restricted : General Al-Futtaim Group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87"/>
  <sheetViews>
    <sheetView zoomScale="70" zoomScaleNormal="70" workbookViewId="0">
      <selection activeCell="F38" sqref="F38"/>
    </sheetView>
  </sheetViews>
  <sheetFormatPr defaultColWidth="8.54296875" defaultRowHeight="14.5"/>
  <cols>
    <col min="1" max="1" width="9.36328125" customWidth="1"/>
    <col min="2" max="2" width="10.36328125" customWidth="1"/>
    <col min="3" max="3" width="13.54296875" bestFit="1" customWidth="1"/>
    <col min="4" max="4" width="35.36328125" bestFit="1" customWidth="1"/>
    <col min="5" max="5" width="28.36328125" bestFit="1" customWidth="1"/>
    <col min="6" max="6" width="32.453125" bestFit="1" customWidth="1"/>
    <col min="7" max="7" width="16.453125" bestFit="1" customWidth="1"/>
    <col min="8" max="8" width="14" customWidth="1"/>
  </cols>
  <sheetData>
    <row r="1" spans="1:9" s="33" customFormat="1" ht="15.5">
      <c r="A1" s="80" t="s">
        <v>198</v>
      </c>
      <c r="B1" s="32"/>
      <c r="C1" s="32"/>
      <c r="D1" s="80"/>
      <c r="E1" s="32"/>
      <c r="F1" s="32"/>
      <c r="G1" s="32"/>
    </row>
    <row r="2" spans="1:9" s="33" customFormat="1" ht="15.5">
      <c r="A2" s="34" t="s">
        <v>76</v>
      </c>
      <c r="B2" s="34" t="s">
        <v>77</v>
      </c>
      <c r="C2" s="34" t="s">
        <v>78</v>
      </c>
      <c r="D2" s="34" t="s">
        <v>79</v>
      </c>
      <c r="E2" s="34" t="s">
        <v>80</v>
      </c>
      <c r="F2" s="60" t="s">
        <v>81</v>
      </c>
      <c r="G2" s="35" t="s">
        <v>100</v>
      </c>
      <c r="H2" s="159" t="s">
        <v>82</v>
      </c>
      <c r="I2" s="41"/>
    </row>
    <row r="3" spans="1:9" ht="15.75" customHeight="1">
      <c r="A3" s="24"/>
      <c r="B3" s="24"/>
      <c r="C3" s="112">
        <v>44859</v>
      </c>
      <c r="D3" s="112" t="s">
        <v>199</v>
      </c>
      <c r="E3" s="112" t="s">
        <v>200</v>
      </c>
      <c r="F3" s="24"/>
      <c r="G3" s="360" t="s">
        <v>201</v>
      </c>
      <c r="H3" t="s">
        <v>88</v>
      </c>
    </row>
    <row r="4" spans="1:9" ht="15.75" customHeight="1">
      <c r="A4" s="24"/>
      <c r="B4" s="24"/>
      <c r="C4" s="112">
        <v>121801</v>
      </c>
      <c r="D4" s="112" t="s">
        <v>202</v>
      </c>
      <c r="E4" s="112" t="s">
        <v>200</v>
      </c>
      <c r="F4" s="24"/>
      <c r="G4" s="360"/>
      <c r="H4" t="s">
        <v>88</v>
      </c>
    </row>
    <row r="5" spans="1:9" ht="14.75" customHeight="1">
      <c r="E5" s="114"/>
    </row>
    <row r="6" spans="1:9" ht="15.5">
      <c r="A6" s="80" t="s">
        <v>72</v>
      </c>
      <c r="B6" s="80"/>
      <c r="C6" s="80" t="s">
        <v>203</v>
      </c>
      <c r="D6" s="80"/>
      <c r="E6" s="114"/>
    </row>
    <row r="7" spans="1:9" s="33" customFormat="1" ht="15.5">
      <c r="A7" s="34" t="s">
        <v>76</v>
      </c>
      <c r="B7" s="34" t="s">
        <v>77</v>
      </c>
      <c r="C7" s="34" t="s">
        <v>78</v>
      </c>
      <c r="D7" s="34" t="s">
        <v>79</v>
      </c>
      <c r="E7" s="34" t="s">
        <v>80</v>
      </c>
      <c r="F7" s="60" t="s">
        <v>81</v>
      </c>
      <c r="G7" s="35" t="s">
        <v>100</v>
      </c>
      <c r="H7" s="159" t="s">
        <v>82</v>
      </c>
      <c r="I7" s="41"/>
    </row>
    <row r="8" spans="1:9" ht="15.75" customHeight="1">
      <c r="A8" s="24"/>
      <c r="B8" s="24"/>
      <c r="C8" s="112">
        <v>108446</v>
      </c>
      <c r="D8" s="112" t="s">
        <v>204</v>
      </c>
      <c r="E8" s="112" t="s">
        <v>200</v>
      </c>
      <c r="F8" s="24"/>
      <c r="G8" s="360" t="s">
        <v>201</v>
      </c>
      <c r="H8" t="s">
        <v>88</v>
      </c>
    </row>
    <row r="9" spans="1:9" ht="15.75" customHeight="1">
      <c r="A9" s="112"/>
      <c r="B9" s="112"/>
      <c r="C9" s="112"/>
      <c r="D9" s="112"/>
      <c r="E9" s="24"/>
      <c r="F9" s="24"/>
      <c r="G9" s="360"/>
    </row>
    <row r="10" spans="1:9" ht="15" customHeight="1"/>
    <row r="11" spans="1:9" ht="15.5">
      <c r="A11" s="80" t="s">
        <v>72</v>
      </c>
      <c r="B11" s="80"/>
      <c r="C11" s="80" t="s">
        <v>205</v>
      </c>
      <c r="D11" s="80"/>
      <c r="E11" s="114"/>
    </row>
    <row r="12" spans="1:9" s="33" customFormat="1" ht="15.5">
      <c r="A12" s="34" t="s">
        <v>76</v>
      </c>
      <c r="B12" s="34" t="s">
        <v>77</v>
      </c>
      <c r="C12" s="34" t="s">
        <v>78</v>
      </c>
      <c r="D12" s="34" t="s">
        <v>79</v>
      </c>
      <c r="E12" s="34" t="s">
        <v>80</v>
      </c>
      <c r="F12" s="60" t="s">
        <v>81</v>
      </c>
      <c r="G12" s="35" t="s">
        <v>100</v>
      </c>
      <c r="H12" s="159" t="s">
        <v>82</v>
      </c>
      <c r="I12" s="41"/>
    </row>
    <row r="13" spans="1:9">
      <c r="A13" s="24"/>
      <c r="B13" s="24"/>
      <c r="C13" s="112">
        <v>111176</v>
      </c>
      <c r="D13" s="112" t="s">
        <v>206</v>
      </c>
      <c r="E13" s="112" t="s">
        <v>207</v>
      </c>
      <c r="F13" s="24"/>
      <c r="G13" s="360" t="s">
        <v>201</v>
      </c>
    </row>
    <row r="14" spans="1:9" ht="15.75" customHeight="1">
      <c r="A14" s="112"/>
      <c r="B14" s="112"/>
      <c r="C14" s="112"/>
      <c r="D14" s="112"/>
      <c r="E14" s="24"/>
      <c r="F14" s="24"/>
      <c r="G14" s="360"/>
    </row>
    <row r="16" spans="1:9" s="33" customFormat="1" ht="15.5">
      <c r="A16" s="80" t="s">
        <v>208</v>
      </c>
      <c r="B16" s="32"/>
      <c r="C16" s="32"/>
      <c r="D16" s="80"/>
      <c r="E16" s="32"/>
      <c r="F16" s="32"/>
      <c r="G16" s="32"/>
    </row>
    <row r="17" spans="1:13" s="33" customFormat="1" ht="15.5">
      <c r="A17" s="34" t="s">
        <v>76</v>
      </c>
      <c r="B17" s="34" t="s">
        <v>77</v>
      </c>
      <c r="C17" s="34" t="s">
        <v>78</v>
      </c>
      <c r="D17" s="34" t="s">
        <v>79</v>
      </c>
      <c r="E17" s="34" t="s">
        <v>80</v>
      </c>
      <c r="F17" s="60" t="s">
        <v>81</v>
      </c>
      <c r="G17" s="201" t="s">
        <v>100</v>
      </c>
      <c r="H17" s="148" t="s">
        <v>82</v>
      </c>
    </row>
    <row r="18" spans="1:13" s="33" customFormat="1" ht="15.5">
      <c r="A18" s="198" t="s">
        <v>136</v>
      </c>
      <c r="B18" s="198" t="s">
        <v>139</v>
      </c>
      <c r="C18" s="199">
        <v>5213</v>
      </c>
      <c r="D18" s="24" t="s">
        <v>209</v>
      </c>
      <c r="E18" s="199" t="s">
        <v>210</v>
      </c>
      <c r="F18" s="24" t="s">
        <v>211</v>
      </c>
      <c r="G18" s="24" t="s">
        <v>183</v>
      </c>
      <c r="H18" s="197" t="s">
        <v>88</v>
      </c>
      <c r="K18" s="63"/>
      <c r="L18" s="63"/>
      <c r="M18" s="63"/>
    </row>
    <row r="19" spans="1:13" s="33" customFormat="1" ht="15.5">
      <c r="A19" s="198" t="s">
        <v>136</v>
      </c>
      <c r="B19" s="198" t="s">
        <v>139</v>
      </c>
      <c r="C19" s="199" t="s">
        <v>212</v>
      </c>
      <c r="D19" s="24" t="s">
        <v>213</v>
      </c>
      <c r="E19" t="s">
        <v>214</v>
      </c>
      <c r="F19" s="24" t="s">
        <v>215</v>
      </c>
      <c r="G19" s="24" t="s">
        <v>183</v>
      </c>
      <c r="H19" s="197" t="s">
        <v>88</v>
      </c>
      <c r="K19" s="63"/>
      <c r="L19" s="63"/>
      <c r="M19" s="63"/>
    </row>
    <row r="20" spans="1:13" s="33" customFormat="1" ht="17.25" customHeight="1">
      <c r="A20" s="198" t="s">
        <v>136</v>
      </c>
      <c r="B20" s="198" t="s">
        <v>216</v>
      </c>
      <c r="C20" s="199">
        <v>150798</v>
      </c>
      <c r="D20" s="24" t="s">
        <v>144</v>
      </c>
      <c r="E20" s="199" t="s">
        <v>217</v>
      </c>
      <c r="F20" s="24" t="s">
        <v>218</v>
      </c>
      <c r="G20" s="24" t="s">
        <v>183</v>
      </c>
      <c r="H20" s="197" t="s">
        <v>88</v>
      </c>
      <c r="K20" s="63"/>
      <c r="L20" s="63"/>
      <c r="M20" s="63"/>
    </row>
    <row r="21" spans="1:13">
      <c r="A21" s="198" t="s">
        <v>136</v>
      </c>
      <c r="B21" s="198" t="s">
        <v>137</v>
      </c>
      <c r="C21" s="199">
        <v>141553</v>
      </c>
      <c r="D21" s="200" t="s">
        <v>219</v>
      </c>
      <c r="E21" s="199" t="s">
        <v>217</v>
      </c>
      <c r="F21" s="24" t="s">
        <v>220</v>
      </c>
      <c r="G21" s="24" t="s">
        <v>183</v>
      </c>
      <c r="H21" s="24" t="s">
        <v>221</v>
      </c>
    </row>
    <row r="22" spans="1:13">
      <c r="A22" s="198" t="s">
        <v>136</v>
      </c>
      <c r="B22" s="198" t="s">
        <v>216</v>
      </c>
      <c r="C22" s="199">
        <v>5747</v>
      </c>
      <c r="D22" s="24" t="s">
        <v>222</v>
      </c>
      <c r="E22" s="199" t="s">
        <v>217</v>
      </c>
      <c r="F22" s="24" t="s">
        <v>223</v>
      </c>
      <c r="G22" s="24" t="s">
        <v>183</v>
      </c>
      <c r="H22" s="197" t="s">
        <v>88</v>
      </c>
    </row>
    <row r="23" spans="1:13">
      <c r="A23" s="198" t="s">
        <v>136</v>
      </c>
      <c r="B23" s="198" t="s">
        <v>224</v>
      </c>
      <c r="C23" s="199">
        <v>17315</v>
      </c>
      <c r="D23" s="24" t="s">
        <v>225</v>
      </c>
      <c r="E23" s="199" t="s">
        <v>217</v>
      </c>
      <c r="F23" s="24" t="s">
        <v>226</v>
      </c>
      <c r="G23" s="24" t="s">
        <v>183</v>
      </c>
      <c r="H23" s="197" t="s">
        <v>88</v>
      </c>
    </row>
    <row r="25" spans="1:13" s="33" customFormat="1" ht="15.5">
      <c r="A25" s="80" t="s">
        <v>227</v>
      </c>
      <c r="B25" s="32"/>
      <c r="C25" s="32"/>
      <c r="D25" s="80"/>
      <c r="E25" s="32"/>
      <c r="F25" s="32"/>
      <c r="G25" s="32"/>
    </row>
    <row r="26" spans="1:13" s="33" customFormat="1" ht="15.5">
      <c r="A26" s="34" t="s">
        <v>76</v>
      </c>
      <c r="B26" s="34" t="s">
        <v>77</v>
      </c>
      <c r="C26" s="34" t="s">
        <v>78</v>
      </c>
      <c r="D26" s="34" t="s">
        <v>79</v>
      </c>
      <c r="E26" s="34" t="s">
        <v>80</v>
      </c>
      <c r="F26" s="60" t="s">
        <v>81</v>
      </c>
      <c r="G26" s="35" t="s">
        <v>100</v>
      </c>
      <c r="H26" s="148" t="s">
        <v>82</v>
      </c>
    </row>
    <row r="27" spans="1:13" s="33" customFormat="1" ht="15.5">
      <c r="A27" s="198" t="s">
        <v>136</v>
      </c>
      <c r="B27" s="198" t="s">
        <v>139</v>
      </c>
      <c r="C27" s="199">
        <v>152593</v>
      </c>
      <c r="D27" s="24" t="s">
        <v>228</v>
      </c>
      <c r="E27" s="199" t="s">
        <v>86</v>
      </c>
      <c r="F27" s="24" t="s">
        <v>229</v>
      </c>
      <c r="G27" s="199" t="s">
        <v>230</v>
      </c>
      <c r="H27" s="197" t="s">
        <v>88</v>
      </c>
      <c r="K27" s="63"/>
      <c r="M27" s="63"/>
    </row>
    <row r="28" spans="1:13" s="33" customFormat="1" ht="15.5">
      <c r="A28" s="198" t="s">
        <v>136</v>
      </c>
      <c r="B28" s="198" t="s">
        <v>216</v>
      </c>
      <c r="C28" s="199">
        <v>5343</v>
      </c>
      <c r="D28" s="24" t="s">
        <v>173</v>
      </c>
      <c r="E28" s="199" t="s">
        <v>86</v>
      </c>
      <c r="F28" s="24" t="s">
        <v>231</v>
      </c>
      <c r="G28" s="199" t="s">
        <v>230</v>
      </c>
      <c r="H28" s="24" t="s">
        <v>232</v>
      </c>
      <c r="K28" s="63"/>
      <c r="M28" s="63"/>
    </row>
    <row r="29" spans="1:13" s="33" customFormat="1" ht="17.25" customHeight="1">
      <c r="A29" s="198" t="s">
        <v>136</v>
      </c>
      <c r="B29" s="198" t="s">
        <v>216</v>
      </c>
      <c r="C29" s="199">
        <v>138066</v>
      </c>
      <c r="D29" s="24" t="s">
        <v>233</v>
      </c>
      <c r="E29" s="199" t="s">
        <v>86</v>
      </c>
      <c r="F29" s="24" t="s">
        <v>234</v>
      </c>
      <c r="G29" s="199" t="s">
        <v>230</v>
      </c>
      <c r="H29" s="197" t="s">
        <v>88</v>
      </c>
      <c r="K29" s="63"/>
      <c r="M29" s="63"/>
    </row>
    <row r="30" spans="1:13">
      <c r="A30" s="198" t="s">
        <v>136</v>
      </c>
      <c r="B30" s="198" t="s">
        <v>216</v>
      </c>
      <c r="C30" s="199">
        <v>5885</v>
      </c>
      <c r="D30" s="24" t="s">
        <v>175</v>
      </c>
      <c r="E30" s="199" t="s">
        <v>217</v>
      </c>
      <c r="F30" s="24" t="s">
        <v>235</v>
      </c>
      <c r="G30" s="199" t="s">
        <v>230</v>
      </c>
      <c r="H30" s="197" t="s">
        <v>88</v>
      </c>
    </row>
    <row r="31" spans="1:13">
      <c r="A31" s="198" t="s">
        <v>136</v>
      </c>
      <c r="B31" s="198" t="s">
        <v>137</v>
      </c>
      <c r="C31" s="199">
        <v>5917</v>
      </c>
      <c r="D31" s="24" t="s">
        <v>236</v>
      </c>
      <c r="E31" s="199" t="s">
        <v>210</v>
      </c>
      <c r="F31" s="24" t="s">
        <v>237</v>
      </c>
      <c r="G31" s="199" t="s">
        <v>230</v>
      </c>
      <c r="H31" s="197" t="s">
        <v>88</v>
      </c>
    </row>
    <row r="32" spans="1:13">
      <c r="A32" s="198" t="s">
        <v>136</v>
      </c>
      <c r="B32" s="198" t="s">
        <v>224</v>
      </c>
      <c r="C32" s="199">
        <v>173715</v>
      </c>
      <c r="D32" s="24" t="s">
        <v>238</v>
      </c>
      <c r="E32" s="199" t="s">
        <v>86</v>
      </c>
      <c r="F32" s="24" t="s">
        <v>239</v>
      </c>
      <c r="G32" s="199" t="s">
        <v>230</v>
      </c>
      <c r="H32" s="197" t="s">
        <v>88</v>
      </c>
    </row>
    <row r="33" spans="1:8">
      <c r="A33" s="198" t="s">
        <v>136</v>
      </c>
      <c r="B33" s="24" t="s">
        <v>240</v>
      </c>
      <c r="C33" s="199">
        <v>183345</v>
      </c>
      <c r="D33" s="24" t="s">
        <v>241</v>
      </c>
      <c r="E33" s="199" t="s">
        <v>86</v>
      </c>
      <c r="F33" s="199"/>
      <c r="G33" s="199" t="s">
        <v>230</v>
      </c>
      <c r="H33" s="197" t="s">
        <v>88</v>
      </c>
    </row>
    <row r="34" spans="1:8">
      <c r="A34" s="198" t="s">
        <v>136</v>
      </c>
      <c r="B34" s="24" t="s">
        <v>242</v>
      </c>
      <c r="C34" s="199"/>
      <c r="D34" s="24" t="s">
        <v>243</v>
      </c>
      <c r="E34" s="24" t="s">
        <v>214</v>
      </c>
      <c r="F34" s="24"/>
      <c r="G34" s="199" t="s">
        <v>230</v>
      </c>
      <c r="H34" s="197" t="s">
        <v>88</v>
      </c>
    </row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9" ht="15.75" customHeight="1"/>
    <row r="80" ht="15.75" customHeight="1"/>
    <row r="81" spans="1:5" ht="15.75" customHeight="1"/>
    <row r="82" spans="1:5" ht="15.75" customHeight="1"/>
    <row r="83" spans="1:5" ht="15.75" customHeight="1"/>
    <row r="84" spans="1:5" ht="15.75" customHeight="1"/>
    <row r="85" spans="1:5" ht="15.75" customHeight="1">
      <c r="A85" s="62"/>
      <c r="B85" s="62"/>
      <c r="C85" s="62"/>
      <c r="D85" s="62"/>
      <c r="E85" s="62"/>
    </row>
    <row r="86" spans="1:5" ht="17.25" customHeight="1">
      <c r="A86" s="62"/>
      <c r="B86" s="62"/>
      <c r="C86" s="62"/>
      <c r="D86" s="62"/>
      <c r="E86" s="62"/>
    </row>
    <row r="87" spans="1:5" ht="17.25" customHeight="1">
      <c r="A87" s="62"/>
      <c r="B87" s="62"/>
      <c r="C87" s="62"/>
      <c r="D87" s="62"/>
      <c r="E87" s="62"/>
    </row>
  </sheetData>
  <mergeCells count="3">
    <mergeCell ref="G3:G4"/>
    <mergeCell ref="G8:G9"/>
    <mergeCell ref="G13:G14"/>
  </mergeCells>
  <conditionalFormatting sqref="B33">
    <cfRule type="containsText" dxfId="41" priority="13" operator="containsText" text="No">
      <formula>NOT(ISERROR(SEARCH("No",B33)))</formula>
    </cfRule>
  </conditionalFormatting>
  <conditionalFormatting sqref="C18:C23">
    <cfRule type="duplicateValues" dxfId="40" priority="55"/>
    <cfRule type="containsText" dxfId="39" priority="54" operator="containsText" text="No">
      <formula>NOT(ISERROR(SEARCH("No",C18)))</formula>
    </cfRule>
  </conditionalFormatting>
  <conditionalFormatting sqref="C21:C23">
    <cfRule type="duplicateValues" dxfId="38" priority="56"/>
  </conditionalFormatting>
  <conditionalFormatting sqref="C27:C29">
    <cfRule type="duplicateValues" dxfId="37" priority="19"/>
    <cfRule type="duplicateValues" dxfId="36" priority="20"/>
  </conditionalFormatting>
  <conditionalFormatting sqref="C27:C30">
    <cfRule type="containsText" dxfId="35" priority="6" operator="containsText" text="No">
      <formula>NOT(ISERROR(SEARCH("No",C27)))</formula>
    </cfRule>
  </conditionalFormatting>
  <conditionalFormatting sqref="C30">
    <cfRule type="duplicateValues" dxfId="34" priority="7"/>
    <cfRule type="duplicateValues" dxfId="33" priority="8"/>
  </conditionalFormatting>
  <conditionalFormatting sqref="C31:C32">
    <cfRule type="containsText" dxfId="32" priority="28" operator="containsText" text="No">
      <formula>NOT(ISERROR(SEARCH("No",C31)))</formula>
    </cfRule>
    <cfRule type="duplicateValues" dxfId="31" priority="25"/>
  </conditionalFormatting>
  <conditionalFormatting sqref="D21">
    <cfRule type="duplicateValues" dxfId="30" priority="50"/>
    <cfRule type="duplicateValues" dxfId="29" priority="49"/>
    <cfRule type="duplicateValues" dxfId="28" priority="48"/>
  </conditionalFormatting>
  <conditionalFormatting sqref="D21:D23">
    <cfRule type="duplicateValues" dxfId="27" priority="57"/>
  </conditionalFormatting>
  <conditionalFormatting sqref="D22:D23">
    <cfRule type="duplicateValues" dxfId="26" priority="60"/>
    <cfRule type="duplicateValues" dxfId="25" priority="59"/>
    <cfRule type="duplicateValues" dxfId="24" priority="58"/>
  </conditionalFormatting>
  <conditionalFormatting sqref="D27"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D28:D29">
    <cfRule type="duplicateValues" dxfId="19" priority="17"/>
  </conditionalFormatting>
  <conditionalFormatting sqref="D30">
    <cfRule type="duplicateValues" dxfId="18" priority="12"/>
    <cfRule type="duplicateValues" dxfId="17" priority="10"/>
    <cfRule type="duplicateValues" dxfId="16" priority="9"/>
    <cfRule type="duplicateValues" dxfId="15" priority="11"/>
  </conditionalFormatting>
  <conditionalFormatting sqref="D31:D32">
    <cfRule type="duplicateValues" dxfId="14" priority="26"/>
    <cfRule type="duplicateValues" dxfId="13" priority="27"/>
  </conditionalFormatting>
  <conditionalFormatting sqref="D33">
    <cfRule type="duplicateValues" dxfId="12" priority="14"/>
  </conditionalFormatting>
  <conditionalFormatting sqref="E18 E20">
    <cfRule type="containsText" dxfId="11" priority="51" operator="containsText" text="No">
      <formula>NOT(ISERROR(SEARCH("No",E18)))</formula>
    </cfRule>
  </conditionalFormatting>
  <conditionalFormatting sqref="E31">
    <cfRule type="containsText" dxfId="10" priority="4" operator="containsText" text="No">
      <formula>NOT(ISERROR(SEARCH("No",E31)))</formula>
    </cfRule>
  </conditionalFormatting>
  <conditionalFormatting sqref="F18:F19">
    <cfRule type="duplicateValues" dxfId="9" priority="46"/>
  </conditionalFormatting>
  <conditionalFormatting sqref="F20 D18:D20">
    <cfRule type="duplicateValues" dxfId="8" priority="217"/>
    <cfRule type="duplicateValues" dxfId="7" priority="218"/>
  </conditionalFormatting>
  <conditionalFormatting sqref="F21">
    <cfRule type="duplicateValues" dxfId="6" priority="47"/>
  </conditionalFormatting>
  <conditionalFormatting sqref="F22:F23">
    <cfRule type="duplicateValues" dxfId="5" priority="45"/>
  </conditionalFormatting>
  <conditionalFormatting sqref="F27">
    <cfRule type="duplicateValues" dxfId="4" priority="18"/>
  </conditionalFormatting>
  <conditionalFormatting sqref="F28:F29">
    <cfRule type="duplicateValues" dxfId="3" priority="1"/>
  </conditionalFormatting>
  <conditionalFormatting sqref="F30">
    <cfRule type="duplicateValues" dxfId="2" priority="5"/>
  </conditionalFormatting>
  <conditionalFormatting sqref="F31:F32">
    <cfRule type="duplicateValues" dxfId="1" priority="3"/>
    <cfRule type="duplicateValues" dxfId="0" priority="2"/>
  </conditionalFormatting>
  <pageMargins left="0.7" right="0.7" top="0.75" bottom="0.75" header="0.3" footer="0.3"/>
  <pageSetup paperSize="9" orientation="landscape" r:id="rId1"/>
  <headerFooter>
    <oddFooter>&amp;C_x000D_&amp;1#&amp;"Calibri"&amp;10&amp;K000000 Restricted : General Al-Futtaim Group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86"/>
  <sheetViews>
    <sheetView zoomScale="70" zoomScaleNormal="70" workbookViewId="0">
      <selection activeCell="B32" sqref="B32"/>
    </sheetView>
  </sheetViews>
  <sheetFormatPr defaultColWidth="8.54296875" defaultRowHeight="14.5"/>
  <cols>
    <col min="1" max="1" width="15" customWidth="1"/>
    <col min="2" max="2" width="35.36328125" bestFit="1" customWidth="1"/>
    <col min="3" max="3" width="41.54296875" customWidth="1"/>
    <col min="4" max="5" width="15.36328125" customWidth="1"/>
  </cols>
  <sheetData>
    <row r="1" spans="1:5" ht="15.5">
      <c r="A1" s="80" t="s">
        <v>72</v>
      </c>
      <c r="B1" s="80"/>
      <c r="C1" s="80" t="s">
        <v>244</v>
      </c>
      <c r="D1" s="80"/>
      <c r="E1" s="80"/>
    </row>
    <row r="2" spans="1:5" ht="15.5">
      <c r="A2" s="34" t="s">
        <v>78</v>
      </c>
      <c r="B2" s="34" t="s">
        <v>245</v>
      </c>
      <c r="C2" s="113" t="s">
        <v>80</v>
      </c>
      <c r="D2" s="60" t="s">
        <v>246</v>
      </c>
      <c r="E2" s="35" t="s">
        <v>100</v>
      </c>
    </row>
    <row r="3" spans="1:5" ht="15.75" customHeight="1">
      <c r="A3" s="112"/>
      <c r="B3" s="112" t="s">
        <v>247</v>
      </c>
      <c r="C3" s="112"/>
      <c r="D3" s="112"/>
      <c r="E3" s="42" t="s">
        <v>201</v>
      </c>
    </row>
    <row r="4" spans="1:5" ht="14.75" customHeight="1">
      <c r="E4" s="114"/>
    </row>
    <row r="5" spans="1:5" ht="15.5">
      <c r="A5" s="80" t="s">
        <v>72</v>
      </c>
      <c r="B5" s="80"/>
      <c r="C5" s="80" t="s">
        <v>248</v>
      </c>
      <c r="D5" s="80"/>
      <c r="E5" s="114"/>
    </row>
    <row r="6" spans="1:5" ht="15.5">
      <c r="A6" s="34" t="s">
        <v>78</v>
      </c>
      <c r="B6" s="34" t="s">
        <v>245</v>
      </c>
      <c r="C6" s="113" t="s">
        <v>80</v>
      </c>
      <c r="D6" s="60" t="s">
        <v>246</v>
      </c>
      <c r="E6" s="35" t="s">
        <v>100</v>
      </c>
    </row>
    <row r="7" spans="1:5" ht="15.75" customHeight="1">
      <c r="A7" s="112"/>
      <c r="B7" s="112" t="s">
        <v>247</v>
      </c>
      <c r="C7" s="112"/>
      <c r="D7" s="112"/>
      <c r="E7" s="115" t="s">
        <v>201</v>
      </c>
    </row>
    <row r="8" spans="1:5" ht="15" customHeight="1"/>
    <row r="9" spans="1:5" ht="15.5">
      <c r="A9" s="80" t="s">
        <v>72</v>
      </c>
      <c r="B9" s="80"/>
      <c r="C9" s="80" t="s">
        <v>249</v>
      </c>
      <c r="D9" s="80"/>
      <c r="E9" s="114"/>
    </row>
    <row r="10" spans="1:5" ht="15.5">
      <c r="A10" s="34" t="s">
        <v>78</v>
      </c>
      <c r="B10" s="34" t="s">
        <v>245</v>
      </c>
      <c r="C10" s="113" t="s">
        <v>80</v>
      </c>
      <c r="D10" s="60" t="s">
        <v>246</v>
      </c>
      <c r="E10" s="35" t="s">
        <v>100</v>
      </c>
    </row>
    <row r="11" spans="1:5" ht="15.75" customHeight="1">
      <c r="A11" s="112">
        <v>181233</v>
      </c>
      <c r="B11" s="112" t="s">
        <v>115</v>
      </c>
      <c r="C11" s="112" t="s">
        <v>250</v>
      </c>
      <c r="D11" s="112" t="s">
        <v>251</v>
      </c>
      <c r="E11" s="361" t="s">
        <v>201</v>
      </c>
    </row>
    <row r="12" spans="1:5" ht="15.75" customHeight="1">
      <c r="A12" s="112">
        <v>175107</v>
      </c>
      <c r="B12" s="112" t="s">
        <v>252</v>
      </c>
      <c r="C12" s="112" t="s">
        <v>253</v>
      </c>
      <c r="D12" s="112" t="s">
        <v>251</v>
      </c>
      <c r="E12" s="362"/>
    </row>
    <row r="13" spans="1:5" ht="15.75" customHeight="1">
      <c r="A13" s="112"/>
      <c r="B13" s="112"/>
      <c r="C13" s="112"/>
      <c r="D13" s="112"/>
      <c r="E13" s="36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8" ht="15.75" customHeight="1"/>
    <row r="79" ht="15.75" customHeight="1"/>
    <row r="80" ht="15.75" customHeight="1"/>
    <row r="81" spans="1:5" ht="15.75" customHeight="1"/>
    <row r="82" spans="1:5" ht="15.75" customHeight="1"/>
    <row r="83" spans="1:5" ht="15.75" customHeight="1"/>
    <row r="84" spans="1:5" ht="15.75" customHeight="1">
      <c r="A84" s="62"/>
      <c r="B84" s="62"/>
      <c r="C84" s="62"/>
      <c r="D84" s="62"/>
      <c r="E84" s="62"/>
    </row>
    <row r="85" spans="1:5" ht="17.25" customHeight="1">
      <c r="A85" s="62"/>
      <c r="B85" s="62"/>
      <c r="C85" s="62"/>
      <c r="D85" s="62"/>
      <c r="E85" s="62"/>
    </row>
    <row r="86" spans="1:5" ht="17.25" customHeight="1">
      <c r="A86" s="62"/>
      <c r="B86" s="62"/>
      <c r="C86" s="62"/>
      <c r="D86" s="62"/>
      <c r="E86" s="62"/>
    </row>
  </sheetData>
  <mergeCells count="1">
    <mergeCell ref="E11:E13"/>
  </mergeCells>
  <pageMargins left="0.7" right="0.7" top="0.75" bottom="0.75" header="0.3" footer="0.3"/>
  <pageSetup paperSize="9" scale="93" orientation="landscape" r:id="rId1"/>
  <headerFooter>
    <oddFooter>&amp;C_x000D_&amp;1#&amp;"Calibri"&amp;10&amp;K000000 Restricted : General Al-Futtaim Group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78"/>
  <sheetViews>
    <sheetView topLeftCell="A34" zoomScale="70" zoomScaleNormal="70" workbookViewId="0">
      <selection activeCell="E52" sqref="E52"/>
    </sheetView>
  </sheetViews>
  <sheetFormatPr defaultColWidth="8.54296875" defaultRowHeight="14.5"/>
  <cols>
    <col min="1" max="1" width="8.54296875" style="64"/>
    <col min="2" max="2" width="16.36328125" style="64" customWidth="1"/>
    <col min="3" max="3" width="14.6328125" style="64" customWidth="1"/>
    <col min="4" max="4" width="16.6328125" style="64" customWidth="1"/>
    <col min="5" max="5" width="51" style="64" customWidth="1"/>
    <col min="6" max="6" width="14.54296875" style="64" customWidth="1"/>
    <col min="7" max="7" width="18.54296875" style="64" customWidth="1"/>
    <col min="8" max="8" width="22.453125" style="64" customWidth="1"/>
    <col min="9" max="9" width="20.90625" style="64" customWidth="1"/>
    <col min="10" max="17" width="11.36328125" style="64" customWidth="1"/>
    <col min="18" max="16384" width="8.54296875" style="64"/>
  </cols>
  <sheetData>
    <row r="1" spans="1:18" ht="15.65" customHeight="1">
      <c r="A1" t="s">
        <v>368</v>
      </c>
      <c r="B1" s="80" t="s">
        <v>254</v>
      </c>
      <c r="C1" s="32"/>
      <c r="D1" s="32"/>
      <c r="E1" s="80"/>
      <c r="F1" s="32"/>
      <c r="G1" s="32"/>
      <c r="H1" s="32"/>
      <c r="I1" s="46"/>
      <c r="J1" s="46"/>
      <c r="K1" s="46"/>
      <c r="L1" s="46"/>
      <c r="M1" s="46"/>
      <c r="N1" s="46"/>
      <c r="O1" s="46"/>
      <c r="P1" s="46"/>
      <c r="Q1" s="46"/>
      <c r="R1" s="84"/>
    </row>
    <row r="2" spans="1:18" ht="15.5">
      <c r="B2" s="34" t="s">
        <v>76</v>
      </c>
      <c r="C2" s="34" t="s">
        <v>77</v>
      </c>
      <c r="D2" s="34" t="s">
        <v>78</v>
      </c>
      <c r="E2" s="43" t="s">
        <v>79</v>
      </c>
      <c r="F2" s="34" t="s">
        <v>80</v>
      </c>
      <c r="G2" s="60" t="s">
        <v>81</v>
      </c>
      <c r="H2" s="35" t="s">
        <v>100</v>
      </c>
      <c r="I2" s="46"/>
      <c r="J2" s="46"/>
      <c r="K2" s="46"/>
      <c r="L2" s="46"/>
      <c r="M2" s="46"/>
      <c r="N2" s="46"/>
      <c r="O2" s="46"/>
      <c r="P2" s="46"/>
      <c r="Q2" s="46"/>
      <c r="R2" s="84"/>
    </row>
    <row r="3" spans="1:18" ht="15.65" customHeight="1" thickBot="1">
      <c r="B3" s="205" t="s">
        <v>90</v>
      </c>
      <c r="C3" s="203">
        <v>179194</v>
      </c>
      <c r="D3" s="206" t="s">
        <v>255</v>
      </c>
      <c r="E3" s="204" t="s">
        <v>256</v>
      </c>
      <c r="F3" s="206" t="s">
        <v>86</v>
      </c>
      <c r="G3" s="61"/>
      <c r="H3" s="364" t="s">
        <v>329</v>
      </c>
      <c r="I3" t="s">
        <v>88</v>
      </c>
      <c r="J3" s="46"/>
      <c r="K3" s="46"/>
      <c r="L3" s="46"/>
      <c r="M3" s="46"/>
      <c r="N3" s="46"/>
      <c r="O3" s="46"/>
      <c r="P3" s="46"/>
      <c r="Q3" s="46"/>
      <c r="R3" s="84"/>
    </row>
    <row r="4" spans="1:18" ht="15.65" customHeight="1" thickBot="1">
      <c r="B4" s="205" t="s">
        <v>90</v>
      </c>
      <c r="C4" s="203">
        <v>175354</v>
      </c>
      <c r="D4" s="206" t="s">
        <v>257</v>
      </c>
      <c r="E4" s="204" t="s">
        <v>258</v>
      </c>
      <c r="F4" s="206" t="s">
        <v>86</v>
      </c>
      <c r="G4" s="61"/>
      <c r="H4" s="364"/>
      <c r="I4" t="s">
        <v>88</v>
      </c>
      <c r="J4" s="46"/>
      <c r="K4" s="46"/>
      <c r="L4" s="46"/>
      <c r="M4" s="46"/>
      <c r="N4" s="46"/>
      <c r="O4" s="46"/>
      <c r="P4" s="46"/>
      <c r="Q4" s="46"/>
      <c r="R4" s="84"/>
    </row>
    <row r="5" spans="1:18" ht="15.65" customHeight="1" thickBot="1">
      <c r="B5" s="205" t="s">
        <v>90</v>
      </c>
      <c r="C5" s="203">
        <v>179616</v>
      </c>
      <c r="D5" s="206" t="s">
        <v>259</v>
      </c>
      <c r="E5" s="204" t="s">
        <v>260</v>
      </c>
      <c r="F5" s="206" t="s">
        <v>86</v>
      </c>
      <c r="G5" s="61"/>
      <c r="H5" s="364"/>
      <c r="I5" t="s">
        <v>88</v>
      </c>
      <c r="J5" s="46"/>
      <c r="K5" s="46"/>
      <c r="L5" s="46"/>
      <c r="M5" s="46"/>
      <c r="N5" s="46"/>
      <c r="O5" s="46"/>
      <c r="P5" s="46"/>
      <c r="Q5" s="46"/>
      <c r="R5" s="84"/>
    </row>
    <row r="6" spans="1:18" ht="15.65" customHeight="1" thickBot="1">
      <c r="B6" s="205" t="s">
        <v>90</v>
      </c>
      <c r="C6" s="203">
        <v>137569</v>
      </c>
      <c r="D6" s="206" t="s">
        <v>261</v>
      </c>
      <c r="E6" s="204" t="s">
        <v>262</v>
      </c>
      <c r="F6" s="206" t="s">
        <v>86</v>
      </c>
      <c r="G6" s="61"/>
      <c r="H6" s="364"/>
      <c r="I6" t="s">
        <v>88</v>
      </c>
      <c r="J6" s="46"/>
      <c r="K6" s="46"/>
      <c r="L6" s="46"/>
      <c r="M6" s="46"/>
      <c r="N6" s="46"/>
      <c r="O6" s="46"/>
      <c r="P6" s="46"/>
      <c r="Q6" s="46"/>
      <c r="R6" s="84"/>
    </row>
    <row r="7" spans="1:18" ht="15" customHeight="1" thickBot="1">
      <c r="B7" s="212" t="s">
        <v>263</v>
      </c>
      <c r="C7" s="213">
        <v>178371</v>
      </c>
      <c r="D7" s="213" t="s">
        <v>264</v>
      </c>
      <c r="E7" s="214" t="s">
        <v>265</v>
      </c>
      <c r="F7" s="213" t="s">
        <v>86</v>
      </c>
      <c r="G7" s="83"/>
      <c r="H7" s="364"/>
      <c r="I7" t="s">
        <v>88</v>
      </c>
      <c r="J7" s="46"/>
      <c r="K7" s="46"/>
      <c r="L7" s="46"/>
      <c r="M7" s="46"/>
      <c r="N7" s="46"/>
      <c r="O7" s="46"/>
      <c r="P7" s="46"/>
      <c r="Q7" s="46"/>
      <c r="R7" s="84"/>
    </row>
    <row r="9" spans="1:18" ht="15.65" customHeight="1">
      <c r="B9" s="80" t="s">
        <v>266</v>
      </c>
      <c r="C9" s="32"/>
      <c r="D9" s="32"/>
      <c r="E9" s="80"/>
      <c r="F9" s="32"/>
      <c r="G9" s="32"/>
      <c r="H9" s="32"/>
      <c r="I9" s="46"/>
      <c r="J9" s="46"/>
      <c r="K9" s="46"/>
      <c r="L9" s="46"/>
      <c r="M9" s="46"/>
      <c r="N9" s="46"/>
      <c r="O9" s="46"/>
      <c r="P9" s="46"/>
      <c r="Q9" s="46"/>
      <c r="R9" s="84"/>
    </row>
    <row r="10" spans="1:18" ht="15.5">
      <c r="B10" s="34" t="s">
        <v>76</v>
      </c>
      <c r="C10" s="34" t="s">
        <v>77</v>
      </c>
      <c r="D10" s="34" t="s">
        <v>78</v>
      </c>
      <c r="E10" s="43" t="s">
        <v>79</v>
      </c>
      <c r="F10" s="34" t="s">
        <v>80</v>
      </c>
      <c r="G10" s="60" t="s">
        <v>81</v>
      </c>
      <c r="H10" s="35" t="s">
        <v>100</v>
      </c>
      <c r="I10" s="46"/>
      <c r="J10" s="46"/>
      <c r="K10" s="46"/>
      <c r="L10" s="46"/>
      <c r="M10" s="46"/>
      <c r="N10" s="46"/>
      <c r="O10" s="46"/>
      <c r="P10" s="46"/>
      <c r="Q10" s="46"/>
      <c r="R10" s="84"/>
    </row>
    <row r="11" spans="1:18" ht="15.65" customHeight="1">
      <c r="A11" t="s">
        <v>348</v>
      </c>
      <c r="B11" s="93" t="s">
        <v>89</v>
      </c>
      <c r="C11" s="94" t="s">
        <v>121</v>
      </c>
      <c r="D11" s="93">
        <v>128282</v>
      </c>
      <c r="E11" s="95" t="s">
        <v>267</v>
      </c>
      <c r="F11" s="36" t="s">
        <v>268</v>
      </c>
      <c r="G11" s="61"/>
      <c r="I11" s="176" t="s">
        <v>88</v>
      </c>
      <c r="J11" s="46"/>
      <c r="K11" s="46"/>
      <c r="L11" s="46"/>
      <c r="M11" s="46"/>
      <c r="N11" s="46"/>
      <c r="O11" s="46"/>
      <c r="P11" s="46"/>
      <c r="Q11" s="46"/>
      <c r="R11" s="84"/>
    </row>
    <row r="12" spans="1:18" ht="15.65" customHeight="1">
      <c r="A12" t="s">
        <v>348</v>
      </c>
      <c r="B12" s="93" t="s">
        <v>89</v>
      </c>
      <c r="C12" s="94" t="s">
        <v>102</v>
      </c>
      <c r="D12" s="93">
        <v>154728</v>
      </c>
      <c r="E12" s="95" t="s">
        <v>269</v>
      </c>
      <c r="F12" s="36" t="s">
        <v>268</v>
      </c>
      <c r="G12" s="61"/>
      <c r="H12" s="176"/>
      <c r="I12" s="176" t="s">
        <v>88</v>
      </c>
      <c r="J12" s="46"/>
      <c r="K12" s="46"/>
      <c r="L12" s="46"/>
      <c r="M12" s="46"/>
      <c r="N12" s="46"/>
      <c r="O12" s="46"/>
      <c r="P12" s="46"/>
      <c r="Q12" s="46"/>
      <c r="R12" s="84"/>
    </row>
    <row r="13" spans="1:18" ht="15.65" customHeight="1">
      <c r="A13" t="s">
        <v>348</v>
      </c>
      <c r="B13" s="230" t="s">
        <v>89</v>
      </c>
      <c r="C13" s="94" t="s">
        <v>102</v>
      </c>
      <c r="D13" s="93">
        <v>178371</v>
      </c>
      <c r="E13" s="95" t="s">
        <v>277</v>
      </c>
      <c r="F13" s="36" t="s">
        <v>268</v>
      </c>
      <c r="G13" s="61"/>
      <c r="H13" s="176"/>
      <c r="I13" s="176" t="s">
        <v>88</v>
      </c>
      <c r="J13" s="46"/>
      <c r="K13" s="46"/>
      <c r="L13" s="46"/>
      <c r="M13" s="46"/>
      <c r="N13" s="46"/>
      <c r="O13" s="46"/>
      <c r="P13" s="46"/>
      <c r="Q13" s="46"/>
      <c r="R13" s="84"/>
    </row>
    <row r="14" spans="1:18" ht="15" customHeight="1">
      <c r="A14" t="s">
        <v>348</v>
      </c>
      <c r="B14" s="93" t="s">
        <v>89</v>
      </c>
      <c r="C14" s="96" t="s">
        <v>116</v>
      </c>
      <c r="D14" s="207">
        <v>109550</v>
      </c>
      <c r="E14" s="85" t="s">
        <v>151</v>
      </c>
      <c r="F14" s="209" t="s">
        <v>271</v>
      </c>
      <c r="G14" s="83"/>
      <c r="H14" s="176"/>
      <c r="I14" s="176" t="s">
        <v>88</v>
      </c>
      <c r="J14" s="46"/>
      <c r="K14" s="46"/>
      <c r="L14" s="46"/>
      <c r="M14" s="46"/>
      <c r="N14" s="46"/>
      <c r="O14" s="46"/>
      <c r="P14" s="46"/>
      <c r="Q14" s="46"/>
      <c r="R14" s="84"/>
    </row>
    <row r="15" spans="1:18" ht="15.75" customHeight="1">
      <c r="A15" t="s">
        <v>348</v>
      </c>
      <c r="B15" s="93" t="s">
        <v>89</v>
      </c>
      <c r="C15" s="97" t="s">
        <v>116</v>
      </c>
      <c r="D15" s="82">
        <v>169477</v>
      </c>
      <c r="E15" s="85" t="s">
        <v>149</v>
      </c>
      <c r="F15" s="37" t="s">
        <v>271</v>
      </c>
      <c r="G15" s="83"/>
      <c r="H15" s="176"/>
      <c r="I15" s="176" t="s">
        <v>88</v>
      </c>
      <c r="J15" s="46"/>
      <c r="K15" s="46"/>
      <c r="L15" s="46"/>
      <c r="M15" s="46"/>
      <c r="N15" s="46"/>
      <c r="O15" s="46"/>
      <c r="P15" s="46"/>
      <c r="Q15" s="46"/>
      <c r="R15" s="84"/>
    </row>
    <row r="16" spans="1:18" ht="15.65" customHeight="1">
      <c r="A16" t="s">
        <v>348</v>
      </c>
      <c r="B16" s="93" t="s">
        <v>89</v>
      </c>
      <c r="C16" s="103" t="s">
        <v>116</v>
      </c>
      <c r="D16" s="208">
        <v>137569</v>
      </c>
      <c r="E16" s="92" t="s">
        <v>177</v>
      </c>
      <c r="F16" s="37" t="s">
        <v>272</v>
      </c>
      <c r="G16" s="83"/>
      <c r="H16" s="176"/>
      <c r="I16" s="176" t="s">
        <v>334</v>
      </c>
      <c r="J16" s="46"/>
      <c r="K16" s="46"/>
      <c r="L16" s="46"/>
      <c r="M16" s="46"/>
      <c r="N16" s="46"/>
      <c r="O16" s="46"/>
      <c r="P16" s="46"/>
      <c r="Q16" s="46"/>
      <c r="R16" s="84"/>
    </row>
    <row r="17" spans="1:18" ht="15.65" customHeight="1">
      <c r="A17" t="s">
        <v>348</v>
      </c>
      <c r="B17" s="93" t="s">
        <v>89</v>
      </c>
      <c r="C17" s="103" t="s">
        <v>110</v>
      </c>
      <c r="D17" s="208">
        <v>116086</v>
      </c>
      <c r="E17" s="92" t="s">
        <v>273</v>
      </c>
      <c r="F17" s="37" t="s">
        <v>272</v>
      </c>
      <c r="G17" s="83"/>
      <c r="H17" s="176"/>
      <c r="I17" s="176" t="s">
        <v>88</v>
      </c>
      <c r="J17" s="46"/>
      <c r="K17" s="46"/>
      <c r="L17" s="46"/>
      <c r="M17" s="46"/>
      <c r="N17" s="46"/>
      <c r="O17" s="46"/>
      <c r="P17" s="46"/>
      <c r="Q17" s="46"/>
      <c r="R17" s="84"/>
    </row>
    <row r="18" spans="1:18" ht="15.65" customHeight="1">
      <c r="A18" s="268" t="s">
        <v>341</v>
      </c>
      <c r="B18" s="93" t="s">
        <v>89</v>
      </c>
      <c r="C18" s="103" t="s">
        <v>350</v>
      </c>
      <c r="D18" s="103">
        <v>179390</v>
      </c>
      <c r="E18" s="92" t="s">
        <v>351</v>
      </c>
      <c r="F18" s="36"/>
      <c r="G18" s="61"/>
      <c r="H18" s="176"/>
      <c r="I18" s="176" t="s">
        <v>382</v>
      </c>
      <c r="J18" s="262"/>
      <c r="K18" s="84"/>
      <c r="L18" s="46"/>
      <c r="M18" s="46"/>
      <c r="N18" s="46"/>
      <c r="O18" s="46"/>
      <c r="P18" s="46"/>
      <c r="Q18" s="46"/>
      <c r="R18" s="84"/>
    </row>
    <row r="19" spans="1:18" ht="15.65" customHeight="1">
      <c r="A19" s="268" t="s">
        <v>341</v>
      </c>
      <c r="B19" s="93" t="s">
        <v>89</v>
      </c>
      <c r="C19" s="103" t="s">
        <v>352</v>
      </c>
      <c r="D19" s="103">
        <v>150354</v>
      </c>
      <c r="E19" s="92" t="s">
        <v>353</v>
      </c>
      <c r="F19" s="36"/>
      <c r="G19" s="61"/>
      <c r="H19" s="176"/>
      <c r="I19" s="176" t="s">
        <v>88</v>
      </c>
      <c r="J19" s="46"/>
      <c r="K19" s="84"/>
      <c r="L19" s="46"/>
      <c r="M19" s="46"/>
      <c r="N19" s="46"/>
      <c r="O19" s="46"/>
      <c r="P19" s="46"/>
      <c r="Q19" s="46"/>
      <c r="R19" s="84"/>
    </row>
    <row r="20" spans="1:18" ht="15.65" customHeight="1">
      <c r="A20" s="268" t="s">
        <v>341</v>
      </c>
      <c r="B20" s="93" t="s">
        <v>89</v>
      </c>
      <c r="C20" s="103" t="s">
        <v>354</v>
      </c>
      <c r="D20" s="103">
        <v>125874</v>
      </c>
      <c r="E20" s="92" t="s">
        <v>355</v>
      </c>
      <c r="F20" s="36"/>
      <c r="G20" s="61"/>
      <c r="H20" s="176"/>
      <c r="I20" s="176" t="s">
        <v>88</v>
      </c>
      <c r="J20" s="46"/>
      <c r="K20" s="84"/>
      <c r="L20" s="46"/>
      <c r="M20" s="46"/>
      <c r="N20" s="46"/>
      <c r="O20" s="46"/>
      <c r="P20" s="46"/>
      <c r="Q20" s="46"/>
      <c r="R20" s="84"/>
    </row>
    <row r="21" spans="1:18" ht="15.65" customHeight="1">
      <c r="A21" s="268" t="s">
        <v>341</v>
      </c>
      <c r="B21" s="93" t="s">
        <v>89</v>
      </c>
      <c r="C21" s="103" t="s">
        <v>354</v>
      </c>
      <c r="D21" s="103">
        <v>176216</v>
      </c>
      <c r="E21" s="92" t="s">
        <v>356</v>
      </c>
      <c r="F21" s="36"/>
      <c r="G21" s="61"/>
      <c r="H21" s="176"/>
      <c r="I21" s="176" t="s">
        <v>88</v>
      </c>
      <c r="J21" s="46"/>
      <c r="K21" s="84"/>
      <c r="L21" s="46"/>
      <c r="M21" s="46"/>
      <c r="N21" s="46"/>
      <c r="O21" s="46"/>
      <c r="P21" s="46"/>
      <c r="Q21" s="46"/>
      <c r="R21" s="84"/>
    </row>
    <row r="22" spans="1:18" ht="15.65" customHeight="1">
      <c r="B22" s="93"/>
      <c r="C22" s="103"/>
      <c r="D22" s="208"/>
      <c r="E22" s="92"/>
      <c r="F22" s="37"/>
      <c r="G22" s="83"/>
      <c r="H22" s="176"/>
      <c r="I22" s="176"/>
      <c r="J22" s="46"/>
      <c r="K22" s="46"/>
      <c r="L22" s="46"/>
      <c r="M22" s="46"/>
      <c r="N22" s="46"/>
      <c r="O22" s="46"/>
      <c r="P22" s="46"/>
      <c r="Q22" s="46"/>
      <c r="R22" s="84"/>
    </row>
    <row r="23" spans="1:18" ht="14.75" customHeight="1">
      <c r="B23" s="77"/>
      <c r="C23" s="89"/>
      <c r="D23" s="79"/>
      <c r="E23" s="71"/>
      <c r="F23" s="41"/>
      <c r="G23" s="70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84"/>
    </row>
    <row r="24" spans="1:18" ht="15.65" customHeight="1">
      <c r="B24" s="80" t="s">
        <v>274</v>
      </c>
      <c r="C24" s="32"/>
      <c r="D24" s="32"/>
      <c r="E24" s="80"/>
      <c r="F24" s="32"/>
      <c r="G24" s="32"/>
      <c r="H24" s="32"/>
      <c r="I24" s="46"/>
      <c r="J24" s="46"/>
      <c r="K24" s="46"/>
      <c r="L24" s="46"/>
      <c r="M24" s="46"/>
      <c r="N24" s="46"/>
      <c r="O24" s="46"/>
      <c r="P24" s="46"/>
      <c r="Q24" s="46"/>
      <c r="R24" s="84"/>
    </row>
    <row r="25" spans="1:18" ht="15.5">
      <c r="B25" s="34" t="s">
        <v>76</v>
      </c>
      <c r="C25" s="34" t="s">
        <v>77</v>
      </c>
      <c r="D25" s="60" t="s">
        <v>78</v>
      </c>
      <c r="E25" s="43" t="s">
        <v>79</v>
      </c>
      <c r="F25" s="34" t="s">
        <v>80</v>
      </c>
      <c r="G25" s="60" t="s">
        <v>81</v>
      </c>
      <c r="H25" s="35" t="s">
        <v>100</v>
      </c>
      <c r="I25" s="46"/>
      <c r="J25" s="46"/>
      <c r="K25" s="46"/>
      <c r="L25" s="46"/>
      <c r="M25" s="46"/>
      <c r="N25" s="46"/>
      <c r="O25" s="46"/>
      <c r="P25" s="46"/>
      <c r="Q25" s="46"/>
      <c r="R25" s="84"/>
    </row>
    <row r="26" spans="1:18" ht="15.65" customHeight="1">
      <c r="A26" t="s">
        <v>348</v>
      </c>
      <c r="B26" s="93" t="s">
        <v>89</v>
      </c>
      <c r="C26" s="94" t="s">
        <v>121</v>
      </c>
      <c r="D26" s="93">
        <v>114752</v>
      </c>
      <c r="E26" s="95" t="s">
        <v>164</v>
      </c>
      <c r="F26" s="36" t="s">
        <v>268</v>
      </c>
      <c r="G26" s="61"/>
      <c r="H26" s="176"/>
      <c r="I26" s="176" t="s">
        <v>88</v>
      </c>
      <c r="J26" s="46"/>
      <c r="K26" s="46"/>
      <c r="L26" s="46"/>
      <c r="M26" s="46"/>
      <c r="N26" s="46"/>
      <c r="O26" s="46"/>
      <c r="P26" s="46"/>
      <c r="Q26" s="46"/>
      <c r="R26" s="84"/>
    </row>
    <row r="27" spans="1:18" ht="15.65" customHeight="1">
      <c r="A27" t="s">
        <v>348</v>
      </c>
      <c r="B27" s="93" t="s">
        <v>89</v>
      </c>
      <c r="C27" s="94" t="s">
        <v>125</v>
      </c>
      <c r="D27" s="93">
        <v>165694</v>
      </c>
      <c r="E27" s="95" t="s">
        <v>275</v>
      </c>
      <c r="F27" s="36" t="s">
        <v>268</v>
      </c>
      <c r="G27" s="61"/>
      <c r="H27" s="176"/>
      <c r="I27" s="176" t="s">
        <v>88</v>
      </c>
      <c r="J27" s="46"/>
      <c r="K27" s="46"/>
      <c r="L27" s="46"/>
      <c r="M27" s="46"/>
      <c r="N27" s="46"/>
      <c r="O27" s="46"/>
      <c r="P27" s="46"/>
      <c r="Q27" s="46"/>
      <c r="R27" s="84"/>
    </row>
    <row r="28" spans="1:18" ht="15.65" customHeight="1">
      <c r="A28" t="s">
        <v>348</v>
      </c>
      <c r="B28" s="93" t="s">
        <v>89</v>
      </c>
      <c r="C28" s="94" t="s">
        <v>102</v>
      </c>
      <c r="D28" s="93">
        <v>173994</v>
      </c>
      <c r="E28" s="95" t="s">
        <v>276</v>
      </c>
      <c r="F28" s="36" t="s">
        <v>268</v>
      </c>
      <c r="G28" s="61"/>
      <c r="H28" s="176"/>
      <c r="I28" s="176" t="s">
        <v>88</v>
      </c>
      <c r="J28" s="46"/>
      <c r="K28" s="46"/>
      <c r="L28" s="46"/>
      <c r="M28" s="46"/>
      <c r="N28" s="46"/>
      <c r="O28" s="46"/>
      <c r="P28" s="46"/>
      <c r="Q28" s="46"/>
      <c r="R28" s="84"/>
    </row>
    <row r="29" spans="1:18" ht="15.65" customHeight="1">
      <c r="A29" t="s">
        <v>348</v>
      </c>
      <c r="B29" s="93" t="s">
        <v>89</v>
      </c>
      <c r="C29" s="94" t="s">
        <v>102</v>
      </c>
      <c r="D29" s="93">
        <v>181703</v>
      </c>
      <c r="E29" s="95" t="s">
        <v>286</v>
      </c>
      <c r="F29" s="36" t="s">
        <v>268</v>
      </c>
      <c r="G29" s="61"/>
      <c r="H29" s="176" t="s">
        <v>285</v>
      </c>
      <c r="I29" s="176" t="s">
        <v>88</v>
      </c>
      <c r="J29" s="46"/>
      <c r="K29" s="46"/>
      <c r="L29" s="46"/>
      <c r="M29" s="46"/>
      <c r="N29" s="46"/>
      <c r="O29" s="46"/>
      <c r="P29" s="46"/>
      <c r="Q29" s="46"/>
      <c r="R29" s="84"/>
    </row>
    <row r="30" spans="1:18" ht="15" customHeight="1">
      <c r="A30" t="s">
        <v>348</v>
      </c>
      <c r="B30" s="93" t="s">
        <v>89</v>
      </c>
      <c r="C30" s="96" t="s">
        <v>116</v>
      </c>
      <c r="D30" s="207">
        <v>129165</v>
      </c>
      <c r="E30" s="85" t="s">
        <v>278</v>
      </c>
      <c r="F30" s="37" t="s">
        <v>268</v>
      </c>
      <c r="G30" s="83"/>
      <c r="H30" s="176"/>
      <c r="I30" s="176" t="s">
        <v>88</v>
      </c>
      <c r="J30" s="46"/>
      <c r="K30" s="46"/>
      <c r="L30" s="46"/>
      <c r="M30" s="46"/>
      <c r="N30" s="46"/>
      <c r="O30" s="46"/>
      <c r="P30" s="46"/>
      <c r="Q30" s="46"/>
      <c r="R30" s="84"/>
    </row>
    <row r="31" spans="1:18" ht="15.75" customHeight="1">
      <c r="A31" t="s">
        <v>348</v>
      </c>
      <c r="B31" s="93" t="s">
        <v>89</v>
      </c>
      <c r="C31" s="97" t="s">
        <v>116</v>
      </c>
      <c r="D31" s="82">
        <v>162613</v>
      </c>
      <c r="E31" s="85" t="s">
        <v>279</v>
      </c>
      <c r="F31" s="37" t="s">
        <v>268</v>
      </c>
      <c r="G31" s="83"/>
      <c r="H31" s="176"/>
      <c r="I31" s="176" t="s">
        <v>88</v>
      </c>
      <c r="J31" s="46"/>
      <c r="K31" s="46"/>
      <c r="L31" s="46"/>
      <c r="M31" s="46"/>
      <c r="N31" s="46"/>
      <c r="O31" s="46"/>
      <c r="P31" s="46"/>
      <c r="Q31" s="46"/>
      <c r="R31" s="84"/>
    </row>
    <row r="32" spans="1:18" ht="15.65" customHeight="1">
      <c r="A32" t="s">
        <v>348</v>
      </c>
      <c r="B32" s="93" t="s">
        <v>89</v>
      </c>
      <c r="C32" s="103" t="s">
        <v>116</v>
      </c>
      <c r="D32" s="208">
        <v>64576</v>
      </c>
      <c r="E32" s="92" t="s">
        <v>280</v>
      </c>
      <c r="F32" s="37" t="s">
        <v>268</v>
      </c>
      <c r="G32" s="83"/>
      <c r="H32" s="176"/>
      <c r="I32" s="176" t="s">
        <v>88</v>
      </c>
      <c r="J32" s="46"/>
      <c r="K32" s="46"/>
      <c r="L32" s="46"/>
      <c r="M32" s="46"/>
      <c r="N32" s="46"/>
      <c r="O32" s="46"/>
      <c r="P32" s="46"/>
      <c r="Q32" s="46"/>
      <c r="R32" s="84"/>
    </row>
    <row r="33" spans="1:18" ht="15.65" customHeight="1">
      <c r="A33" t="s">
        <v>348</v>
      </c>
      <c r="B33" s="93" t="s">
        <v>89</v>
      </c>
      <c r="C33" s="82" t="s">
        <v>116</v>
      </c>
      <c r="D33" s="82">
        <v>175354</v>
      </c>
      <c r="E33" s="85" t="s">
        <v>298</v>
      </c>
      <c r="F33" s="37" t="s">
        <v>268</v>
      </c>
      <c r="G33" s="83"/>
      <c r="H33" s="176"/>
      <c r="I33" s="176" t="s">
        <v>335</v>
      </c>
      <c r="J33" s="46"/>
      <c r="K33" s="46"/>
      <c r="L33" s="46"/>
      <c r="M33" s="46"/>
      <c r="N33" s="46"/>
      <c r="O33" s="46"/>
      <c r="P33" s="46"/>
      <c r="Q33" s="46"/>
      <c r="R33" s="84"/>
    </row>
    <row r="34" spans="1:18" ht="15.65" customHeight="1">
      <c r="A34" s="268" t="s">
        <v>341</v>
      </c>
      <c r="B34" s="93" t="s">
        <v>89</v>
      </c>
      <c r="C34" s="103" t="s">
        <v>354</v>
      </c>
      <c r="D34" s="103">
        <v>168648</v>
      </c>
      <c r="E34" s="103" t="s">
        <v>357</v>
      </c>
      <c r="F34" s="36"/>
      <c r="G34" s="61"/>
      <c r="H34" s="176"/>
      <c r="I34" s="176" t="s">
        <v>88</v>
      </c>
      <c r="J34" s="46"/>
      <c r="K34" s="46"/>
      <c r="L34" s="46"/>
      <c r="M34" s="46"/>
      <c r="N34" s="46"/>
      <c r="O34" s="46"/>
      <c r="P34" s="46"/>
      <c r="Q34" s="46"/>
      <c r="R34" s="84"/>
    </row>
    <row r="35" spans="1:18" ht="15.65" customHeight="1">
      <c r="A35" s="268" t="s">
        <v>341</v>
      </c>
      <c r="B35" s="93" t="s">
        <v>89</v>
      </c>
      <c r="C35" s="103" t="s">
        <v>350</v>
      </c>
      <c r="D35" s="103">
        <v>176214</v>
      </c>
      <c r="E35" s="103" t="s">
        <v>359</v>
      </c>
      <c r="F35" s="36"/>
      <c r="G35" s="61"/>
      <c r="H35" s="176"/>
      <c r="I35" s="176" t="s">
        <v>88</v>
      </c>
      <c r="J35" s="46"/>
      <c r="K35" s="46"/>
      <c r="L35" s="46"/>
      <c r="M35" s="46"/>
      <c r="N35" s="46"/>
      <c r="O35" s="46"/>
      <c r="P35" s="46"/>
      <c r="Q35" s="46"/>
      <c r="R35" s="84"/>
    </row>
    <row r="36" spans="1:18" ht="15.65" customHeight="1">
      <c r="A36" s="268" t="s">
        <v>341</v>
      </c>
      <c r="B36" s="93" t="s">
        <v>89</v>
      </c>
      <c r="C36" s="103" t="s">
        <v>352</v>
      </c>
      <c r="D36" s="103">
        <v>179367</v>
      </c>
      <c r="E36" s="103" t="s">
        <v>367</v>
      </c>
      <c r="F36" s="36"/>
      <c r="G36" s="61"/>
      <c r="H36" s="176"/>
      <c r="I36" s="176" t="s">
        <v>88</v>
      </c>
      <c r="J36" s="46" t="s">
        <v>380</v>
      </c>
      <c r="K36" s="46"/>
      <c r="L36" s="46"/>
      <c r="M36" s="46"/>
      <c r="N36" s="46"/>
      <c r="O36" s="46"/>
      <c r="P36" s="46"/>
      <c r="Q36" s="46"/>
      <c r="R36" s="84"/>
    </row>
    <row r="37" spans="1:18" ht="15.65" customHeight="1">
      <c r="A37" s="268" t="s">
        <v>341</v>
      </c>
      <c r="B37" s="93" t="s">
        <v>89</v>
      </c>
      <c r="C37" s="103" t="s">
        <v>354</v>
      </c>
      <c r="D37" s="103">
        <v>176108</v>
      </c>
      <c r="E37" s="103" t="s">
        <v>363</v>
      </c>
      <c r="F37" s="36"/>
      <c r="G37" s="61"/>
      <c r="H37" s="176"/>
      <c r="I37" s="176" t="s">
        <v>88</v>
      </c>
      <c r="J37" s="46"/>
      <c r="K37" s="46"/>
      <c r="L37" s="46"/>
      <c r="M37" s="46"/>
      <c r="N37" s="46"/>
      <c r="O37" s="46"/>
      <c r="P37" s="46"/>
      <c r="Q37" s="46"/>
      <c r="R37" s="84"/>
    </row>
    <row r="38" spans="1:18" ht="15.65" customHeight="1">
      <c r="B38" s="93"/>
      <c r="C38" s="82"/>
      <c r="D38" s="82"/>
      <c r="E38" s="85"/>
      <c r="F38" s="37"/>
      <c r="G38" s="83"/>
      <c r="H38" s="176"/>
      <c r="I38" s="45"/>
      <c r="J38" s="46"/>
      <c r="K38" s="46"/>
      <c r="L38" s="46"/>
      <c r="M38" s="46"/>
      <c r="N38" s="46"/>
      <c r="O38" s="46"/>
      <c r="P38" s="46"/>
      <c r="Q38" s="46"/>
      <c r="R38" s="84"/>
    </row>
    <row r="39" spans="1:18" ht="15.65" customHeight="1">
      <c r="B39" s="93"/>
      <c r="C39" s="103"/>
      <c r="D39" s="208"/>
      <c r="E39" s="92"/>
      <c r="F39" s="37"/>
      <c r="G39" s="83"/>
      <c r="H39" s="176"/>
      <c r="I39" s="46"/>
      <c r="J39" s="46"/>
      <c r="K39" s="46"/>
      <c r="L39" s="46"/>
      <c r="M39" s="46"/>
      <c r="N39" s="46"/>
      <c r="O39" s="46"/>
      <c r="P39" s="46"/>
      <c r="Q39" s="46"/>
      <c r="R39" s="84"/>
    </row>
    <row r="40" spans="1:18"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</row>
    <row r="41" spans="1:18" ht="15.65" customHeight="1">
      <c r="B41" s="80" t="s">
        <v>281</v>
      </c>
      <c r="C41" s="32"/>
      <c r="D41" s="32"/>
      <c r="E41" s="80"/>
      <c r="F41" s="32"/>
      <c r="G41" s="32"/>
      <c r="H41" s="32"/>
      <c r="I41" s="46"/>
      <c r="J41" s="46"/>
      <c r="K41" s="46"/>
      <c r="L41" s="46"/>
      <c r="M41" s="46"/>
      <c r="N41" s="46"/>
      <c r="O41" s="46"/>
      <c r="P41" s="46"/>
      <c r="Q41" s="46"/>
      <c r="R41" s="84"/>
    </row>
    <row r="42" spans="1:18" ht="15.5">
      <c r="B42" s="34" t="s">
        <v>76</v>
      </c>
      <c r="C42" s="34" t="s">
        <v>77</v>
      </c>
      <c r="D42" s="34" t="s">
        <v>78</v>
      </c>
      <c r="E42" s="43" t="s">
        <v>79</v>
      </c>
      <c r="F42" s="34" t="s">
        <v>80</v>
      </c>
      <c r="G42" s="60" t="s">
        <v>81</v>
      </c>
      <c r="H42" s="35" t="s">
        <v>100</v>
      </c>
      <c r="I42" s="46"/>
      <c r="J42" s="46"/>
      <c r="K42" s="46"/>
      <c r="L42" s="46"/>
      <c r="M42" s="46"/>
      <c r="N42" s="46"/>
      <c r="O42" s="46"/>
      <c r="P42" s="46"/>
      <c r="Q42" s="46"/>
      <c r="R42" s="84"/>
    </row>
    <row r="43" spans="1:18" ht="15.65" customHeight="1">
      <c r="A43" t="s">
        <v>348</v>
      </c>
      <c r="B43" s="93" t="s">
        <v>89</v>
      </c>
      <c r="C43" s="94" t="s">
        <v>282</v>
      </c>
      <c r="D43" s="93">
        <v>179859</v>
      </c>
      <c r="E43" s="95" t="s">
        <v>283</v>
      </c>
      <c r="F43" s="36" t="s">
        <v>284</v>
      </c>
      <c r="G43" s="61"/>
      <c r="H43" s="176" t="s">
        <v>285</v>
      </c>
      <c r="I43" s="176" t="s">
        <v>88</v>
      </c>
      <c r="J43" s="46"/>
      <c r="K43" s="46"/>
      <c r="L43" s="46"/>
      <c r="M43" s="46"/>
      <c r="N43" s="46"/>
      <c r="O43" s="46"/>
      <c r="P43" s="46"/>
      <c r="Q43" s="46"/>
      <c r="R43" s="84"/>
    </row>
    <row r="44" spans="1:18" ht="15.65" customHeight="1">
      <c r="A44" t="s">
        <v>348</v>
      </c>
      <c r="B44" s="230" t="s">
        <v>89</v>
      </c>
      <c r="C44" s="231" t="s">
        <v>102</v>
      </c>
      <c r="D44" s="230">
        <v>149930</v>
      </c>
      <c r="E44" s="232" t="s">
        <v>270</v>
      </c>
      <c r="F44" s="36" t="s">
        <v>268</v>
      </c>
      <c r="G44" s="61"/>
      <c r="H44" s="176" t="s">
        <v>285</v>
      </c>
      <c r="I44" s="176" t="s">
        <v>88</v>
      </c>
      <c r="J44" s="46"/>
      <c r="K44" s="46"/>
      <c r="L44" s="46"/>
      <c r="M44" s="46"/>
      <c r="N44" s="46"/>
      <c r="O44" s="46"/>
      <c r="P44" s="46"/>
      <c r="Q44" s="46"/>
      <c r="R44" s="84"/>
    </row>
    <row r="45" spans="1:18" ht="15.65" customHeight="1">
      <c r="A45" t="s">
        <v>348</v>
      </c>
      <c r="B45" s="93" t="s">
        <v>89</v>
      </c>
      <c r="C45" s="94" t="s">
        <v>102</v>
      </c>
      <c r="D45" s="93">
        <v>166357</v>
      </c>
      <c r="E45" s="95" t="s">
        <v>287</v>
      </c>
      <c r="F45" s="36" t="s">
        <v>268</v>
      </c>
      <c r="G45" s="61"/>
      <c r="H45" s="176"/>
      <c r="I45" s="176" t="s">
        <v>88</v>
      </c>
      <c r="J45" s="46"/>
      <c r="K45" s="46"/>
      <c r="L45" s="46"/>
      <c r="M45" s="46"/>
      <c r="N45" s="46"/>
      <c r="O45" s="46"/>
      <c r="P45" s="46"/>
      <c r="Q45" s="46"/>
      <c r="R45" s="84"/>
    </row>
    <row r="46" spans="1:18" ht="15.65" customHeight="1">
      <c r="A46" t="s">
        <v>348</v>
      </c>
      <c r="B46" s="93" t="s">
        <v>89</v>
      </c>
      <c r="C46" s="94" t="s">
        <v>116</v>
      </c>
      <c r="D46" s="93">
        <v>177158</v>
      </c>
      <c r="E46" s="95" t="s">
        <v>153</v>
      </c>
      <c r="F46" s="36" t="s">
        <v>268</v>
      </c>
      <c r="G46" s="61"/>
      <c r="H46" s="176"/>
      <c r="I46" s="176" t="s">
        <v>88</v>
      </c>
      <c r="J46" s="46"/>
      <c r="K46" s="46"/>
      <c r="L46" s="46"/>
      <c r="M46" s="46"/>
      <c r="N46" s="46"/>
      <c r="O46" s="46"/>
      <c r="P46" s="46"/>
      <c r="Q46" s="46"/>
      <c r="R46" s="84"/>
    </row>
    <row r="47" spans="1:18" ht="15" customHeight="1">
      <c r="A47" t="s">
        <v>348</v>
      </c>
      <c r="B47" s="93" t="s">
        <v>89</v>
      </c>
      <c r="C47" s="96" t="s">
        <v>116</v>
      </c>
      <c r="D47" s="207">
        <v>179616</v>
      </c>
      <c r="E47" s="85" t="s">
        <v>146</v>
      </c>
      <c r="F47" s="37" t="s">
        <v>268</v>
      </c>
      <c r="G47" s="83"/>
      <c r="H47" s="176"/>
      <c r="I47" s="176" t="s">
        <v>88</v>
      </c>
      <c r="J47" s="46"/>
      <c r="K47" s="46"/>
      <c r="L47" s="46"/>
      <c r="M47" s="46"/>
      <c r="N47" s="46"/>
      <c r="O47" s="46"/>
      <c r="P47" s="46"/>
      <c r="Q47" s="46"/>
      <c r="R47" s="84"/>
    </row>
    <row r="48" spans="1:18" ht="15.75" customHeight="1">
      <c r="A48" t="s">
        <v>348</v>
      </c>
      <c r="B48" s="93" t="s">
        <v>89</v>
      </c>
      <c r="C48" s="97" t="s">
        <v>116</v>
      </c>
      <c r="D48" s="82">
        <v>136865</v>
      </c>
      <c r="E48" s="85" t="s">
        <v>176</v>
      </c>
      <c r="F48" s="37" t="s">
        <v>268</v>
      </c>
      <c r="G48" s="83"/>
      <c r="H48" s="176"/>
      <c r="I48" s="176" t="s">
        <v>88</v>
      </c>
      <c r="J48" s="46"/>
      <c r="K48" s="46"/>
      <c r="L48" s="46"/>
      <c r="M48" s="46"/>
      <c r="N48" s="46"/>
      <c r="O48" s="46"/>
      <c r="P48" s="46"/>
      <c r="Q48" s="46"/>
      <c r="R48" s="84"/>
    </row>
    <row r="49" spans="1:18" ht="15.65" customHeight="1">
      <c r="A49" t="s">
        <v>348</v>
      </c>
      <c r="B49" s="93" t="s">
        <v>89</v>
      </c>
      <c r="C49" s="103" t="s">
        <v>116</v>
      </c>
      <c r="D49" s="208">
        <v>179194</v>
      </c>
      <c r="E49" s="92" t="s">
        <v>288</v>
      </c>
      <c r="F49" s="37" t="s">
        <v>268</v>
      </c>
      <c r="G49" s="83"/>
      <c r="H49" s="176"/>
      <c r="I49" s="176" t="s">
        <v>88</v>
      </c>
      <c r="J49" s="46"/>
      <c r="K49" s="46"/>
      <c r="L49" s="46"/>
      <c r="M49" s="46"/>
      <c r="N49" s="46"/>
      <c r="O49" s="46"/>
      <c r="P49" s="46"/>
      <c r="Q49" s="46"/>
      <c r="R49" s="84"/>
    </row>
    <row r="50" spans="1:18" ht="15.5">
      <c r="A50" t="s">
        <v>348</v>
      </c>
      <c r="B50" s="93" t="s">
        <v>89</v>
      </c>
      <c r="C50" s="103" t="s">
        <v>110</v>
      </c>
      <c r="D50" s="208">
        <v>178622</v>
      </c>
      <c r="E50" s="92" t="s">
        <v>289</v>
      </c>
      <c r="F50" s="37" t="s">
        <v>268</v>
      </c>
      <c r="G50" s="83"/>
      <c r="H50" s="176"/>
      <c r="I50" s="176" t="s">
        <v>88</v>
      </c>
      <c r="J50" s="84"/>
      <c r="K50" s="84"/>
      <c r="L50" s="84"/>
      <c r="M50" s="84"/>
      <c r="N50" s="84"/>
      <c r="O50" s="84"/>
      <c r="P50" s="84"/>
      <c r="Q50" s="84"/>
      <c r="R50" s="84"/>
    </row>
    <row r="51" spans="1:18" ht="15.5">
      <c r="A51" s="268" t="s">
        <v>341</v>
      </c>
      <c r="B51" s="93" t="s">
        <v>89</v>
      </c>
      <c r="C51" s="103" t="s">
        <v>354</v>
      </c>
      <c r="D51" s="103">
        <v>179572</v>
      </c>
      <c r="E51" s="103" t="s">
        <v>364</v>
      </c>
      <c r="F51" s="103"/>
      <c r="G51" s="103"/>
      <c r="H51" s="176"/>
      <c r="I51" s="176" t="s">
        <v>88</v>
      </c>
      <c r="J51" s="84"/>
      <c r="K51" s="84"/>
      <c r="L51" s="84"/>
      <c r="M51" s="84"/>
      <c r="N51" s="84"/>
      <c r="O51" s="84"/>
      <c r="P51" s="84"/>
      <c r="Q51" s="84"/>
      <c r="R51" s="84"/>
    </row>
    <row r="52" spans="1:18" ht="15.5">
      <c r="A52" s="268" t="s">
        <v>341</v>
      </c>
      <c r="B52" s="93" t="s">
        <v>89</v>
      </c>
      <c r="C52" s="103" t="s">
        <v>354</v>
      </c>
      <c r="D52" s="103">
        <v>180320</v>
      </c>
      <c r="E52" s="103" t="s">
        <v>365</v>
      </c>
      <c r="F52" s="103"/>
      <c r="G52" s="103"/>
      <c r="H52" s="266"/>
      <c r="I52" s="266" t="s">
        <v>88</v>
      </c>
      <c r="J52" s="84"/>
      <c r="K52" s="84"/>
      <c r="L52" s="84"/>
      <c r="M52" s="84"/>
      <c r="N52" s="84"/>
      <c r="O52" s="84"/>
      <c r="P52" s="84"/>
      <c r="Q52" s="84"/>
      <c r="R52" s="84"/>
    </row>
    <row r="53" spans="1:18" ht="15.5">
      <c r="A53" s="268" t="s">
        <v>341</v>
      </c>
      <c r="B53" s="93" t="s">
        <v>89</v>
      </c>
      <c r="C53" s="103" t="s">
        <v>354</v>
      </c>
      <c r="D53" s="103">
        <v>175105</v>
      </c>
      <c r="E53" s="103" t="s">
        <v>366</v>
      </c>
      <c r="F53" s="103"/>
      <c r="G53" s="265"/>
      <c r="H53" s="156"/>
      <c r="I53" s="176" t="s">
        <v>389</v>
      </c>
      <c r="J53" s="84"/>
      <c r="K53" s="84"/>
      <c r="L53" s="84"/>
      <c r="M53" s="84"/>
      <c r="N53" s="84"/>
      <c r="O53" s="84"/>
      <c r="P53" s="84"/>
      <c r="Q53" s="84"/>
      <c r="R53" s="84"/>
    </row>
    <row r="54" spans="1:18" ht="15.5">
      <c r="A54" s="268" t="s">
        <v>341</v>
      </c>
      <c r="B54" s="93" t="s">
        <v>89</v>
      </c>
      <c r="C54" s="263" t="s">
        <v>352</v>
      </c>
      <c r="D54" s="263">
        <v>181740</v>
      </c>
      <c r="E54" s="263" t="s">
        <v>362</v>
      </c>
      <c r="F54" s="263"/>
      <c r="G54" s="263"/>
      <c r="H54" s="272" t="s">
        <v>360</v>
      </c>
      <c r="I54" s="176" t="s">
        <v>389</v>
      </c>
      <c r="J54" s="84"/>
      <c r="K54" s="84"/>
      <c r="L54" s="84"/>
      <c r="M54" s="84"/>
      <c r="N54" s="84"/>
      <c r="O54" s="84"/>
      <c r="P54" s="84"/>
      <c r="Q54" s="84"/>
      <c r="R54" s="84"/>
    </row>
    <row r="55" spans="1:18" ht="15.5">
      <c r="B55" s="93"/>
      <c r="C55" s="103"/>
      <c r="D55" s="208"/>
      <c r="E55" s="92"/>
      <c r="F55" s="37"/>
      <c r="G55" s="83"/>
      <c r="H55" s="176"/>
      <c r="I55" s="45"/>
      <c r="J55" s="84"/>
      <c r="K55" s="84"/>
      <c r="L55" s="84"/>
      <c r="M55" s="84"/>
      <c r="N55" s="84"/>
      <c r="O55" s="84"/>
      <c r="P55" s="84"/>
      <c r="Q55" s="84"/>
      <c r="R55" s="84"/>
    </row>
    <row r="56" spans="1:18" ht="15.5">
      <c r="B56" s="93"/>
      <c r="C56" s="103"/>
      <c r="D56" s="208"/>
      <c r="E56" s="92"/>
      <c r="F56" s="37"/>
      <c r="G56" s="83"/>
      <c r="H56" s="176"/>
      <c r="I56" s="84"/>
      <c r="J56" s="84"/>
      <c r="K56" s="84"/>
      <c r="L56" s="84"/>
      <c r="M56" s="84"/>
      <c r="N56" s="84"/>
      <c r="O56" s="84"/>
      <c r="P56" s="84"/>
      <c r="Q56" s="84"/>
      <c r="R56" s="84"/>
    </row>
    <row r="59" spans="1:18" s="84" customFormat="1" ht="15.65" customHeight="1">
      <c r="B59" s="80" t="s">
        <v>349</v>
      </c>
      <c r="C59" s="32"/>
      <c r="D59" s="32"/>
      <c r="E59" s="80"/>
      <c r="F59" s="32"/>
      <c r="G59" s="32"/>
      <c r="H59" s="32"/>
      <c r="I59" s="46"/>
      <c r="J59" s="46"/>
      <c r="L59" s="86"/>
      <c r="M59" s="86"/>
      <c r="N59" s="86"/>
      <c r="O59" s="86"/>
      <c r="P59" s="86"/>
      <c r="Q59" s="86"/>
    </row>
    <row r="60" spans="1:18" s="84" customFormat="1" ht="16" thickBot="1">
      <c r="B60" s="34" t="s">
        <v>76</v>
      </c>
      <c r="C60" s="34" t="s">
        <v>77</v>
      </c>
      <c r="D60" s="34" t="s">
        <v>78</v>
      </c>
      <c r="E60" s="43" t="s">
        <v>79</v>
      </c>
      <c r="F60" s="34" t="s">
        <v>80</v>
      </c>
      <c r="G60" s="60" t="s">
        <v>81</v>
      </c>
      <c r="H60" s="35" t="s">
        <v>100</v>
      </c>
      <c r="I60" s="46"/>
      <c r="J60" s="46"/>
      <c r="L60" s="86"/>
      <c r="M60" s="86"/>
      <c r="N60" s="86"/>
      <c r="O60" s="86"/>
      <c r="P60" s="86"/>
      <c r="Q60" s="86"/>
    </row>
    <row r="61" spans="1:18" s="84" customFormat="1" ht="15.65" customHeight="1" thickBot="1">
      <c r="B61" s="246" t="s">
        <v>89</v>
      </c>
      <c r="C61" s="247" t="s">
        <v>350</v>
      </c>
      <c r="D61" s="248">
        <v>179390</v>
      </c>
      <c r="E61" s="249" t="s">
        <v>351</v>
      </c>
      <c r="F61" s="247"/>
      <c r="G61" s="248"/>
      <c r="H61" s="250"/>
      <c r="I61" t="s">
        <v>88</v>
      </c>
      <c r="J61" s="46"/>
      <c r="L61" s="88"/>
      <c r="M61" s="89"/>
      <c r="N61" s="89"/>
      <c r="O61" s="89"/>
      <c r="P61" s="81"/>
      <c r="Q61" s="69"/>
    </row>
    <row r="62" spans="1:18" s="84" customFormat="1" ht="15.65" customHeight="1" thickBot="1">
      <c r="B62" s="251" t="s">
        <v>89</v>
      </c>
      <c r="C62" s="252" t="s">
        <v>352</v>
      </c>
      <c r="D62" s="249">
        <v>150354</v>
      </c>
      <c r="E62" s="249" t="s">
        <v>353</v>
      </c>
      <c r="F62" s="252"/>
      <c r="G62" s="249"/>
      <c r="H62" s="253"/>
      <c r="I62" t="s">
        <v>88</v>
      </c>
      <c r="J62" s="46"/>
      <c r="L62" s="90"/>
      <c r="M62" s="87"/>
      <c r="N62" s="87"/>
      <c r="O62" s="89"/>
      <c r="P62" s="81"/>
      <c r="Q62" s="59"/>
    </row>
    <row r="63" spans="1:18" s="84" customFormat="1" ht="15.65" customHeight="1" thickBot="1">
      <c r="B63" s="251" t="s">
        <v>89</v>
      </c>
      <c r="C63" s="252" t="s">
        <v>354</v>
      </c>
      <c r="D63" s="249">
        <v>125874</v>
      </c>
      <c r="E63" s="249" t="s">
        <v>355</v>
      </c>
      <c r="F63" s="252"/>
      <c r="G63" s="249"/>
      <c r="H63" s="253"/>
      <c r="I63" t="s">
        <v>88</v>
      </c>
      <c r="J63" s="46"/>
      <c r="L63" s="90"/>
      <c r="M63" s="87"/>
      <c r="N63" s="87"/>
      <c r="O63" s="89"/>
      <c r="P63" s="81"/>
      <c r="Q63" s="59"/>
    </row>
    <row r="64" spans="1:18" s="84" customFormat="1" ht="15.65" customHeight="1" thickBot="1">
      <c r="B64" s="251" t="s">
        <v>89</v>
      </c>
      <c r="C64" s="252" t="s">
        <v>354</v>
      </c>
      <c r="D64" s="249">
        <v>176216</v>
      </c>
      <c r="E64" s="249" t="s">
        <v>356</v>
      </c>
      <c r="F64" s="252"/>
      <c r="G64" s="249"/>
      <c r="H64" s="253"/>
      <c r="I64" t="s">
        <v>88</v>
      </c>
      <c r="J64" s="46"/>
      <c r="L64" s="90"/>
      <c r="M64" s="87"/>
      <c r="N64" s="89"/>
      <c r="O64" s="89"/>
      <c r="P64" s="81"/>
      <c r="Q64" s="59"/>
    </row>
    <row r="65" spans="2:17" s="84" customFormat="1" ht="15" customHeight="1" thickBot="1">
      <c r="B65" s="251" t="s">
        <v>89</v>
      </c>
      <c r="C65" s="254" t="s">
        <v>354</v>
      </c>
      <c r="D65" s="249">
        <v>168648</v>
      </c>
      <c r="E65" s="249" t="s">
        <v>357</v>
      </c>
      <c r="F65" s="254"/>
      <c r="G65" s="255"/>
      <c r="H65" s="253"/>
      <c r="I65" t="s">
        <v>88</v>
      </c>
      <c r="J65" s="46"/>
      <c r="L65" s="90"/>
      <c r="M65" s="87"/>
      <c r="N65" s="87"/>
      <c r="O65" s="89"/>
      <c r="P65" s="81"/>
      <c r="Q65" s="59"/>
    </row>
    <row r="66" spans="2:17" s="84" customFormat="1" ht="15.75" customHeight="1">
      <c r="B66" s="93" t="s">
        <v>89</v>
      </c>
      <c r="C66" s="97"/>
      <c r="D66" s="97"/>
      <c r="E66" s="85"/>
      <c r="F66" s="37"/>
      <c r="G66" s="83"/>
      <c r="H66" s="176"/>
      <c r="I66" s="46"/>
      <c r="J66" s="46"/>
      <c r="L66" s="86"/>
      <c r="M66" s="86"/>
      <c r="N66" s="86"/>
      <c r="O66" s="86"/>
    </row>
    <row r="67" spans="2:17" s="84" customFormat="1" ht="15.65" customHeight="1">
      <c r="B67" s="93" t="s">
        <v>89</v>
      </c>
      <c r="C67" s="103"/>
      <c r="D67" s="103"/>
      <c r="E67" s="92"/>
      <c r="F67" s="37"/>
      <c r="G67" s="83"/>
      <c r="H67" s="176"/>
      <c r="I67" s="46"/>
      <c r="J67" s="46"/>
      <c r="L67" s="86"/>
      <c r="M67" s="86"/>
      <c r="N67" s="86"/>
      <c r="O67" s="86"/>
    </row>
    <row r="68" spans="2:17" customFormat="1"/>
    <row r="69" spans="2:17" customFormat="1"/>
    <row r="70" spans="2:17" s="84" customFormat="1" ht="15.65" customHeight="1">
      <c r="B70" s="80" t="s">
        <v>358</v>
      </c>
      <c r="C70" s="32"/>
      <c r="D70" s="32"/>
      <c r="E70" s="80"/>
      <c r="F70" s="32"/>
      <c r="G70" s="32"/>
      <c r="H70" s="32"/>
      <c r="I70" s="46"/>
      <c r="J70" s="46"/>
      <c r="L70" s="86"/>
      <c r="M70" s="86"/>
      <c r="N70" s="86"/>
      <c r="O70" s="86"/>
      <c r="P70" s="86"/>
      <c r="Q70" s="86"/>
    </row>
    <row r="71" spans="2:17" s="84" customFormat="1" ht="16" thickBot="1">
      <c r="B71" s="34" t="s">
        <v>76</v>
      </c>
      <c r="C71" s="34" t="s">
        <v>77</v>
      </c>
      <c r="D71" s="34" t="s">
        <v>78</v>
      </c>
      <c r="E71" s="43" t="s">
        <v>79</v>
      </c>
      <c r="F71" s="34" t="s">
        <v>80</v>
      </c>
      <c r="G71" s="60" t="s">
        <v>81</v>
      </c>
      <c r="H71" s="35" t="s">
        <v>100</v>
      </c>
      <c r="I71" s="46"/>
      <c r="J71" s="46"/>
      <c r="L71" s="86"/>
      <c r="M71" s="86"/>
      <c r="N71" s="86"/>
      <c r="O71" s="86"/>
      <c r="P71" s="86"/>
      <c r="Q71" s="86"/>
    </row>
    <row r="72" spans="2:17" s="84" customFormat="1" ht="15.65" customHeight="1" thickBot="1">
      <c r="B72" s="246" t="s">
        <v>89</v>
      </c>
      <c r="C72" s="247" t="s">
        <v>350</v>
      </c>
      <c r="D72" s="247">
        <v>176214</v>
      </c>
      <c r="E72" s="249" t="s">
        <v>359</v>
      </c>
      <c r="F72" s="250"/>
      <c r="G72" s="256" t="s">
        <v>360</v>
      </c>
      <c r="H72" s="176"/>
      <c r="I72" s="257" t="s">
        <v>361</v>
      </c>
      <c r="J72" s="46"/>
      <c r="L72" s="88"/>
      <c r="M72" s="89"/>
      <c r="N72" s="89"/>
      <c r="O72" s="89"/>
      <c r="P72" s="81"/>
      <c r="Q72" s="69"/>
    </row>
    <row r="73" spans="2:17" s="84" customFormat="1" ht="15.65" customHeight="1" thickBot="1">
      <c r="B73" s="251" t="s">
        <v>89</v>
      </c>
      <c r="C73" s="252" t="s">
        <v>352</v>
      </c>
      <c r="D73" s="252">
        <v>181740</v>
      </c>
      <c r="E73" s="249" t="s">
        <v>362</v>
      </c>
      <c r="F73" s="253"/>
      <c r="G73" s="258"/>
      <c r="H73" s="259"/>
      <c r="I73" t="s">
        <v>88</v>
      </c>
      <c r="J73" s="46"/>
      <c r="L73" s="90"/>
      <c r="M73" s="87"/>
      <c r="N73" s="87"/>
      <c r="O73" s="89"/>
      <c r="P73" s="81"/>
      <c r="Q73" s="59"/>
    </row>
    <row r="74" spans="2:17" s="84" customFormat="1" ht="15.65" customHeight="1" thickBot="1">
      <c r="B74" s="251" t="s">
        <v>89</v>
      </c>
      <c r="C74" s="252" t="s">
        <v>354</v>
      </c>
      <c r="D74" s="252">
        <v>176108</v>
      </c>
      <c r="E74" s="249" t="s">
        <v>363</v>
      </c>
      <c r="F74" s="253"/>
      <c r="G74" s="258"/>
      <c r="H74" s="259"/>
      <c r="I74" s="46"/>
      <c r="J74" s="46"/>
      <c r="L74" s="90"/>
      <c r="M74" s="87"/>
      <c r="N74" s="87"/>
      <c r="O74" s="89"/>
      <c r="P74" s="81"/>
      <c r="Q74" s="59"/>
    </row>
    <row r="75" spans="2:17" s="84" customFormat="1" ht="15.65" customHeight="1" thickBot="1">
      <c r="B75" s="251" t="s">
        <v>89</v>
      </c>
      <c r="C75" s="252" t="s">
        <v>354</v>
      </c>
      <c r="D75" s="252">
        <v>179572</v>
      </c>
      <c r="E75" s="249" t="s">
        <v>364</v>
      </c>
      <c r="F75" s="253"/>
      <c r="G75" s="258"/>
      <c r="H75" s="259"/>
      <c r="I75" t="s">
        <v>88</v>
      </c>
      <c r="J75" s="46"/>
      <c r="L75" s="90"/>
      <c r="M75" s="87"/>
      <c r="N75" s="89"/>
      <c r="O75" s="89"/>
      <c r="P75" s="81"/>
      <c r="Q75" s="59"/>
    </row>
    <row r="76" spans="2:17" s="84" customFormat="1" ht="15" customHeight="1" thickBot="1">
      <c r="B76" s="251" t="s">
        <v>89</v>
      </c>
      <c r="C76" s="254" t="s">
        <v>354</v>
      </c>
      <c r="D76" s="254">
        <v>180320</v>
      </c>
      <c r="E76" s="255" t="s">
        <v>365</v>
      </c>
      <c r="F76" s="253"/>
      <c r="G76" s="260"/>
      <c r="H76" s="261"/>
      <c r="I76" t="s">
        <v>88</v>
      </c>
      <c r="J76" s="46"/>
      <c r="L76" s="90"/>
      <c r="M76" s="87"/>
      <c r="N76" s="87"/>
      <c r="O76" s="89"/>
      <c r="P76" s="81"/>
      <c r="Q76" s="59"/>
    </row>
    <row r="77" spans="2:17" s="84" customFormat="1" ht="15.75" customHeight="1" thickBot="1">
      <c r="B77" s="251" t="s">
        <v>89</v>
      </c>
      <c r="C77" s="261" t="s">
        <v>354</v>
      </c>
      <c r="D77" s="261">
        <v>175105</v>
      </c>
      <c r="E77" s="255" t="s">
        <v>366</v>
      </c>
      <c r="F77" s="253"/>
      <c r="G77" s="256" t="s">
        <v>360</v>
      </c>
      <c r="H77" s="176"/>
      <c r="I77" t="s">
        <v>88</v>
      </c>
      <c r="J77" s="46"/>
      <c r="L77" s="86"/>
      <c r="M77" s="86"/>
      <c r="N77" s="86"/>
      <c r="O77" s="86"/>
    </row>
    <row r="78" spans="2:17" s="84" customFormat="1" ht="15.65" customHeight="1" thickBot="1">
      <c r="B78" s="251" t="s">
        <v>89</v>
      </c>
      <c r="C78" s="103" t="s">
        <v>352</v>
      </c>
      <c r="D78" s="103">
        <v>179367</v>
      </c>
      <c r="E78" s="103" t="s">
        <v>367</v>
      </c>
      <c r="F78" s="103"/>
      <c r="G78" s="103"/>
      <c r="H78" s="103"/>
      <c r="I78" s="46"/>
      <c r="J78" s="46"/>
      <c r="L78" s="86"/>
      <c r="M78" s="86"/>
      <c r="N78" s="86"/>
      <c r="O78" s="86"/>
    </row>
  </sheetData>
  <mergeCells count="1">
    <mergeCell ref="H3:H7"/>
  </mergeCells>
  <hyperlinks>
    <hyperlink ref="E3" r:id="rId1" xr:uid="{0A55E8D6-D10D-4421-8DEC-6F47E1BAB124}"/>
    <hyperlink ref="E4" r:id="rId2" xr:uid="{FAF53866-9B79-4EB5-811F-8C4375C476B1}"/>
    <hyperlink ref="E5" r:id="rId3" xr:uid="{7F3193EF-D495-4D7A-BADB-62DC58209855}"/>
    <hyperlink ref="E6" r:id="rId4" xr:uid="{642789D2-DB3D-44CB-AD42-89A38D256785}"/>
    <hyperlink ref="E7" r:id="rId5" display="mailto:Mohamed.Yousry2@alfuttaim.com" xr:uid="{F8B5CD71-8943-44B1-8063-195A9A1AFACB}"/>
  </hyperlinks>
  <pageMargins left="0.7" right="0.7" top="0.75" bottom="0.75" header="0.3" footer="0.3"/>
  <pageSetup paperSize="9" scale="93" orientation="landscape" r:id="rId6"/>
  <headerFooter>
    <oddFooter>&amp;C_x000D_&amp;1#&amp;"Calibri"&amp;10&amp;K000000 Restricted : General Al-Futtaim Group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05"/>
  <sheetViews>
    <sheetView zoomScale="70" zoomScaleNormal="70" workbookViewId="0">
      <selection activeCell="D46" sqref="D46"/>
    </sheetView>
  </sheetViews>
  <sheetFormatPr defaultColWidth="8.54296875" defaultRowHeight="15" customHeight="1"/>
  <cols>
    <col min="1" max="1" width="16.36328125" style="64" customWidth="1"/>
    <col min="2" max="2" width="14.6328125" style="64" customWidth="1"/>
    <col min="3" max="3" width="16.6328125" style="64" customWidth="1"/>
    <col min="4" max="4" width="51" style="64" customWidth="1"/>
    <col min="5" max="5" width="14.54296875" style="64" customWidth="1"/>
    <col min="6" max="6" width="18.54296875" style="64" customWidth="1"/>
    <col min="7" max="7" width="15.6328125" style="64" customWidth="1"/>
    <col min="8" max="8" width="10.54296875" style="64" customWidth="1"/>
    <col min="9" max="9" width="11.36328125" style="64" customWidth="1"/>
    <col min="10" max="10" width="9" style="64" customWidth="1"/>
    <col min="11" max="11" width="13.36328125" style="64" customWidth="1"/>
    <col min="12" max="12" width="13" style="64" customWidth="1"/>
    <col min="13" max="13" width="13.6328125" style="64" customWidth="1"/>
    <col min="14" max="14" width="11.54296875" style="64" customWidth="1"/>
    <col min="15" max="15" width="20.453125" style="64" customWidth="1"/>
    <col min="16" max="16" width="13.6328125" style="64" customWidth="1"/>
    <col min="17" max="16384" width="8.54296875" style="64"/>
  </cols>
  <sheetData>
    <row r="1" spans="1:17" s="33" customFormat="1" ht="15.5">
      <c r="A1" s="80"/>
      <c r="B1" s="32"/>
      <c r="C1" s="32"/>
      <c r="D1" s="80"/>
      <c r="E1" s="32"/>
      <c r="F1" s="32"/>
      <c r="G1" s="32"/>
    </row>
    <row r="2" spans="1:17" s="33" customFormat="1" ht="15.5">
      <c r="A2" s="34" t="s">
        <v>76</v>
      </c>
      <c r="B2" s="34" t="s">
        <v>77</v>
      </c>
      <c r="C2" s="34" t="s">
        <v>78</v>
      </c>
      <c r="D2" s="43" t="s">
        <v>79</v>
      </c>
      <c r="E2" s="34" t="s">
        <v>80</v>
      </c>
      <c r="F2" s="60" t="s">
        <v>81</v>
      </c>
      <c r="G2" s="35" t="s">
        <v>100</v>
      </c>
      <c r="I2" s="41"/>
    </row>
    <row r="3" spans="1:17" s="33" customFormat="1" ht="15.5">
      <c r="A3" s="93"/>
      <c r="B3" s="94"/>
      <c r="C3" s="94"/>
      <c r="D3" s="95"/>
      <c r="E3" s="36"/>
      <c r="F3" s="61"/>
      <c r="G3" s="176"/>
      <c r="H3" s="44"/>
      <c r="I3" s="44"/>
      <c r="J3" s="63"/>
      <c r="K3" s="63"/>
      <c r="L3" s="63"/>
      <c r="M3" s="63"/>
    </row>
    <row r="4" spans="1:17" s="33" customFormat="1" ht="15.5">
      <c r="A4" s="93"/>
      <c r="B4" s="94"/>
      <c r="C4" s="94"/>
      <c r="D4" s="95"/>
      <c r="E4" s="36"/>
      <c r="F4" s="61"/>
      <c r="G4" s="176"/>
      <c r="H4" s="44"/>
      <c r="I4" s="44"/>
      <c r="J4" s="63"/>
      <c r="K4" s="63"/>
      <c r="L4" s="63"/>
      <c r="M4" s="63"/>
    </row>
    <row r="5" spans="1:17" s="33" customFormat="1" ht="17.25" customHeight="1">
      <c r="A5" s="93"/>
      <c r="B5" s="94"/>
      <c r="C5" s="94"/>
      <c r="D5" s="95"/>
      <c r="E5" s="36"/>
      <c r="F5" s="61"/>
      <c r="G5" s="176"/>
      <c r="H5" s="73"/>
      <c r="I5" s="44"/>
      <c r="J5" s="63"/>
      <c r="K5" s="63"/>
      <c r="L5" s="63"/>
      <c r="M5" s="63"/>
    </row>
    <row r="6" spans="1:17" s="33" customFormat="1" ht="15.5">
      <c r="A6" s="93"/>
      <c r="B6" s="94"/>
      <c r="C6" s="94"/>
      <c r="D6" s="95"/>
      <c r="E6" s="36"/>
      <c r="F6" s="61"/>
      <c r="G6" s="176"/>
      <c r="H6" s="44"/>
      <c r="I6" s="44"/>
      <c r="J6" s="63"/>
      <c r="K6" s="63"/>
      <c r="L6" s="63"/>
      <c r="M6" s="63"/>
    </row>
    <row r="7" spans="1:17" s="33" customFormat="1" ht="15.5">
      <c r="A7" s="101"/>
      <c r="B7" s="102"/>
      <c r="C7" s="102"/>
      <c r="D7" s="79"/>
      <c r="E7" s="41"/>
      <c r="F7" s="44"/>
      <c r="G7" s="41"/>
      <c r="H7" s="44"/>
      <c r="I7" s="44"/>
      <c r="J7" s="63"/>
      <c r="K7" s="63"/>
      <c r="L7" s="63"/>
      <c r="M7" s="63"/>
    </row>
    <row r="8" spans="1:17" s="33" customFormat="1" ht="15.5">
      <c r="C8" s="33" t="s">
        <v>376</v>
      </c>
      <c r="F8" s="39"/>
    </row>
    <row r="9" spans="1:17" s="33" customFormat="1" ht="15.5">
      <c r="F9" s="39"/>
    </row>
    <row r="10" spans="1:17" ht="14.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</row>
    <row r="11" spans="1:17" ht="14.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</row>
    <row r="12" spans="1:17" ht="14.5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</row>
    <row r="13" spans="1:17" ht="14.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</row>
    <row r="14" spans="1:17" ht="14.5"/>
    <row r="15" spans="1:17" ht="14.5"/>
    <row r="16" spans="1:17" ht="14.5"/>
    <row r="17" ht="14.5"/>
    <row r="18" ht="14.5"/>
    <row r="19" ht="14.5"/>
    <row r="20" ht="14.5"/>
    <row r="21" ht="14.5"/>
    <row r="22" ht="14.5"/>
    <row r="23" ht="14.5"/>
    <row r="24" ht="14.5"/>
    <row r="25" ht="14.5"/>
    <row r="26" ht="14.5"/>
    <row r="27" ht="14.5"/>
    <row r="28" ht="14.5"/>
    <row r="29" ht="14.5"/>
    <row r="30" ht="14.5"/>
    <row r="31" ht="14.5"/>
    <row r="3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/>
    <row r="62" ht="14.5"/>
    <row r="63" ht="14.5"/>
    <row r="64" ht="14.5"/>
    <row r="65" ht="14.5"/>
    <row r="66" ht="14.5"/>
    <row r="67" ht="14.5"/>
    <row r="68" ht="14.5"/>
    <row r="69" ht="14.5"/>
    <row r="70" ht="14.5"/>
    <row r="71" ht="14.5"/>
    <row r="72" ht="14.5"/>
    <row r="73" ht="14.5"/>
    <row r="74" ht="14.5"/>
    <row r="75" ht="14.5"/>
    <row r="76" ht="14.5"/>
    <row r="77" ht="14.5"/>
    <row r="78" ht="14.5"/>
    <row r="79" ht="14.5"/>
    <row r="80" ht="14.5"/>
    <row r="81" ht="14.5"/>
    <row r="82" ht="14.5"/>
    <row r="83" ht="14.5"/>
    <row r="84" ht="14.5"/>
    <row r="85" ht="14.5"/>
    <row r="86" ht="14.5"/>
    <row r="87" ht="14.5"/>
    <row r="88" ht="14.5"/>
    <row r="89" ht="14.5"/>
    <row r="90" ht="14.5"/>
    <row r="91" ht="14.5"/>
    <row r="92" ht="14.5"/>
    <row r="93" ht="14.5"/>
    <row r="94" ht="14.5"/>
    <row r="95" ht="14.5"/>
    <row r="96" ht="14.5"/>
    <row r="97" ht="14.5"/>
    <row r="98" ht="14.5"/>
    <row r="99" ht="14.5"/>
    <row r="100" ht="14.5"/>
    <row r="101" ht="14.5"/>
    <row r="102" ht="14.5"/>
    <row r="103" ht="14.5"/>
    <row r="104" ht="14.5"/>
    <row r="105" ht="14.5"/>
  </sheetData>
  <pageMargins left="0.7" right="0.7" top="0.75" bottom="0.75" header="0.3" footer="0.3"/>
  <pageSetup paperSize="9" scale="93" orientation="landscape"/>
  <headerFooter>
    <oddFooter>&amp;C_x000D_&amp;1#&amp;"Calibri"&amp;10&amp;K000000 Restricted : General Al-Futtaim Group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98"/>
  <sheetViews>
    <sheetView topLeftCell="A39" zoomScale="70" zoomScaleNormal="70" workbookViewId="0">
      <selection activeCell="B53" sqref="B53"/>
    </sheetView>
  </sheetViews>
  <sheetFormatPr defaultColWidth="8.54296875" defaultRowHeight="14.5"/>
  <cols>
    <col min="1" max="1" width="8.54296875" style="64"/>
    <col min="2" max="2" width="16.36328125" style="64" customWidth="1"/>
    <col min="3" max="3" width="14.6328125" style="218" customWidth="1"/>
    <col min="4" max="4" width="16.6328125" style="64" customWidth="1"/>
    <col min="5" max="5" width="51" style="64" customWidth="1"/>
    <col min="6" max="6" width="14.54296875" style="64" customWidth="1"/>
    <col min="7" max="7" width="18.54296875" style="64" customWidth="1"/>
    <col min="8" max="8" width="18.6328125" style="64" customWidth="1"/>
    <col min="9" max="9" width="30.6328125" style="64" bestFit="1" customWidth="1"/>
    <col min="10" max="10" width="11.36328125" style="64" customWidth="1"/>
    <col min="11" max="11" width="9" style="64" customWidth="1"/>
    <col min="12" max="12" width="13.36328125" style="64" customWidth="1"/>
    <col min="13" max="13" width="13" style="64" customWidth="1"/>
    <col min="14" max="14" width="13.6328125" style="64" customWidth="1"/>
    <col min="15" max="15" width="11.54296875" style="64" customWidth="1"/>
    <col min="16" max="16" width="20.453125" style="64" customWidth="1"/>
    <col min="17" max="17" width="13.6328125" style="64" customWidth="1"/>
    <col min="18" max="16384" width="8.54296875" style="64"/>
  </cols>
  <sheetData>
    <row r="1" spans="1:18" ht="15.65" customHeight="1">
      <c r="B1" s="80" t="s">
        <v>291</v>
      </c>
      <c r="C1" s="211"/>
      <c r="D1" s="32"/>
      <c r="E1" s="80"/>
      <c r="F1" s="32"/>
      <c r="G1" s="32"/>
      <c r="H1" s="32"/>
      <c r="I1" s="46"/>
      <c r="J1" s="46"/>
      <c r="K1" s="84"/>
      <c r="L1" s="86"/>
      <c r="M1" s="86"/>
      <c r="N1" s="86"/>
      <c r="O1" s="86"/>
      <c r="P1" s="86"/>
      <c r="Q1" s="86"/>
      <c r="R1" s="84"/>
    </row>
    <row r="2" spans="1:18" ht="15.5">
      <c r="A2" t="s">
        <v>368</v>
      </c>
      <c r="B2" s="34" t="s">
        <v>76</v>
      </c>
      <c r="C2" s="60" t="s">
        <v>77</v>
      </c>
      <c r="D2" s="34" t="s">
        <v>78</v>
      </c>
      <c r="E2" s="43" t="s">
        <v>79</v>
      </c>
      <c r="F2" s="34" t="s">
        <v>80</v>
      </c>
      <c r="G2" s="60" t="s">
        <v>81</v>
      </c>
      <c r="H2" s="35" t="s">
        <v>100</v>
      </c>
      <c r="I2" s="46"/>
      <c r="J2" s="46"/>
      <c r="K2" s="84"/>
      <c r="L2" s="86"/>
      <c r="M2" s="86"/>
      <c r="N2" s="86"/>
      <c r="O2" s="86"/>
      <c r="P2" s="86"/>
      <c r="Q2" s="86"/>
      <c r="R2" s="84"/>
    </row>
    <row r="3" spans="1:18" ht="15.65" customHeight="1">
      <c r="A3" t="s">
        <v>348</v>
      </c>
      <c r="B3" s="93" t="s">
        <v>89</v>
      </c>
      <c r="C3" s="93" t="s">
        <v>125</v>
      </c>
      <c r="D3" s="93">
        <v>179859</v>
      </c>
      <c r="E3" s="95" t="s">
        <v>126</v>
      </c>
      <c r="F3" s="36" t="s">
        <v>268</v>
      </c>
      <c r="G3" s="61"/>
      <c r="H3" s="269"/>
      <c r="I3" s="271" t="s">
        <v>378</v>
      </c>
      <c r="J3" s="46"/>
      <c r="K3" s="84"/>
      <c r="L3" s="88"/>
      <c r="M3" s="89"/>
      <c r="N3" s="89"/>
      <c r="O3" s="89"/>
      <c r="P3" s="81"/>
      <c r="Q3" s="69"/>
      <c r="R3" s="84"/>
    </row>
    <row r="4" spans="1:18" ht="15.65" customHeight="1">
      <c r="A4" t="s">
        <v>348</v>
      </c>
      <c r="B4" s="93" t="s">
        <v>89</v>
      </c>
      <c r="C4" s="93" t="s">
        <v>102</v>
      </c>
      <c r="D4" s="210">
        <v>178371</v>
      </c>
      <c r="E4" s="95" t="s">
        <v>277</v>
      </c>
      <c r="F4" s="36" t="s">
        <v>268</v>
      </c>
      <c r="G4" s="61"/>
      <c r="H4" s="269"/>
      <c r="I4" s="156" t="s">
        <v>88</v>
      </c>
      <c r="J4" s="46"/>
      <c r="K4" s="84"/>
      <c r="L4" s="90"/>
      <c r="M4" s="87"/>
      <c r="N4" s="87"/>
      <c r="O4" s="89"/>
      <c r="P4" s="81"/>
      <c r="Q4" s="59"/>
      <c r="R4" s="84"/>
    </row>
    <row r="5" spans="1:18" ht="15.65" customHeight="1">
      <c r="A5" t="s">
        <v>348</v>
      </c>
      <c r="B5" s="93" t="s">
        <v>89</v>
      </c>
      <c r="C5" s="93" t="s">
        <v>102</v>
      </c>
      <c r="D5" s="93">
        <v>173994</v>
      </c>
      <c r="E5" s="95" t="s">
        <v>276</v>
      </c>
      <c r="F5" s="36" t="s">
        <v>268</v>
      </c>
      <c r="G5" s="61"/>
      <c r="H5" s="269"/>
      <c r="I5" s="156" t="s">
        <v>88</v>
      </c>
      <c r="J5" s="46"/>
      <c r="K5" s="84"/>
      <c r="L5" s="90"/>
      <c r="M5" s="87"/>
      <c r="N5" s="87"/>
      <c r="O5" s="89"/>
      <c r="P5" s="81"/>
      <c r="Q5" s="59"/>
      <c r="R5" s="84"/>
    </row>
    <row r="6" spans="1:18" ht="15.65" customHeight="1">
      <c r="A6" t="s">
        <v>348</v>
      </c>
      <c r="B6" s="93" t="s">
        <v>89</v>
      </c>
      <c r="C6" s="93" t="s">
        <v>116</v>
      </c>
      <c r="D6" s="93">
        <v>169477</v>
      </c>
      <c r="E6" s="95" t="s">
        <v>149</v>
      </c>
      <c r="F6" s="36" t="s">
        <v>268</v>
      </c>
      <c r="G6" s="61"/>
      <c r="H6" s="269"/>
      <c r="I6" s="156" t="s">
        <v>88</v>
      </c>
      <c r="J6" s="46"/>
      <c r="K6" s="84"/>
      <c r="L6" s="90"/>
      <c r="M6" s="87"/>
      <c r="N6" s="89"/>
      <c r="O6" s="89"/>
      <c r="P6" s="81"/>
      <c r="Q6" s="59"/>
      <c r="R6" s="84"/>
    </row>
    <row r="7" spans="1:18" ht="15" customHeight="1">
      <c r="A7" t="s">
        <v>348</v>
      </c>
      <c r="B7" s="93" t="s">
        <v>89</v>
      </c>
      <c r="C7" s="207" t="s">
        <v>116</v>
      </c>
      <c r="D7" s="207">
        <v>109550</v>
      </c>
      <c r="E7" s="85" t="s">
        <v>151</v>
      </c>
      <c r="F7" s="37" t="s">
        <v>268</v>
      </c>
      <c r="G7" s="83"/>
      <c r="H7" s="270" t="s">
        <v>330</v>
      </c>
      <c r="I7" s="271" t="s">
        <v>378</v>
      </c>
      <c r="J7" s="46"/>
      <c r="K7" s="84"/>
      <c r="L7" s="90"/>
      <c r="M7" s="87"/>
      <c r="N7" s="87"/>
      <c r="O7" s="89"/>
      <c r="P7" s="81"/>
      <c r="Q7" s="59"/>
      <c r="R7" s="84"/>
    </row>
    <row r="8" spans="1:18" ht="15.75" customHeight="1">
      <c r="A8" t="s">
        <v>348</v>
      </c>
      <c r="B8" s="93" t="s">
        <v>89</v>
      </c>
      <c r="C8" s="82" t="s">
        <v>116</v>
      </c>
      <c r="D8" s="82">
        <v>137569</v>
      </c>
      <c r="E8" s="85" t="s">
        <v>177</v>
      </c>
      <c r="F8" s="37" t="s">
        <v>268</v>
      </c>
      <c r="G8" s="83"/>
      <c r="H8" s="269"/>
      <c r="I8" s="156" t="s">
        <v>88</v>
      </c>
      <c r="J8" s="46"/>
      <c r="K8" s="84"/>
      <c r="L8" s="86"/>
      <c r="M8" s="86"/>
      <c r="N8" s="86"/>
      <c r="O8" s="86"/>
      <c r="P8" s="84"/>
      <c r="Q8" s="84"/>
      <c r="R8" s="84"/>
    </row>
    <row r="9" spans="1:18" ht="15.65" customHeight="1">
      <c r="A9" t="s">
        <v>348</v>
      </c>
      <c r="B9" s="93" t="s">
        <v>89</v>
      </c>
      <c r="C9" s="208" t="s">
        <v>116</v>
      </c>
      <c r="D9" s="208">
        <v>179194</v>
      </c>
      <c r="E9" s="92" t="s">
        <v>288</v>
      </c>
      <c r="F9" s="37" t="s">
        <v>268</v>
      </c>
      <c r="G9" s="83"/>
      <c r="H9" s="270" t="s">
        <v>330</v>
      </c>
      <c r="I9" s="271" t="s">
        <v>377</v>
      </c>
      <c r="J9" s="46"/>
      <c r="K9" s="84"/>
      <c r="L9" s="86"/>
      <c r="M9" s="86"/>
      <c r="N9" s="86"/>
      <c r="O9" s="86"/>
      <c r="P9" s="84"/>
      <c r="Q9" s="84"/>
      <c r="R9" s="84"/>
    </row>
    <row r="10" spans="1:18" ht="15.65" customHeight="1">
      <c r="A10" t="s">
        <v>348</v>
      </c>
      <c r="B10" s="93" t="s">
        <v>89</v>
      </c>
      <c r="C10" s="93" t="s">
        <v>110</v>
      </c>
      <c r="D10" s="208">
        <v>178622</v>
      </c>
      <c r="E10" s="92" t="s">
        <v>289</v>
      </c>
      <c r="F10" s="37" t="s">
        <v>268</v>
      </c>
      <c r="G10" s="83"/>
      <c r="H10" s="269"/>
      <c r="I10" s="156" t="s">
        <v>88</v>
      </c>
      <c r="J10" s="46"/>
      <c r="K10" s="84"/>
      <c r="L10" s="86"/>
      <c r="M10" s="86"/>
      <c r="N10" s="86"/>
      <c r="O10" s="86"/>
      <c r="P10" s="84"/>
      <c r="Q10" s="84"/>
      <c r="R10" s="84"/>
    </row>
    <row r="11" spans="1:18" ht="15.65" customHeight="1">
      <c r="B11" s="80" t="s">
        <v>292</v>
      </c>
      <c r="C11" s="211"/>
      <c r="D11" s="32"/>
      <c r="E11" s="80"/>
      <c r="F11" s="32"/>
      <c r="G11" s="32"/>
      <c r="H11" s="32"/>
      <c r="I11" s="46"/>
      <c r="J11" s="46"/>
      <c r="K11" s="84"/>
      <c r="L11" s="86"/>
      <c r="M11" s="86"/>
      <c r="N11" s="86"/>
      <c r="O11" s="86"/>
      <c r="P11" s="86"/>
      <c r="Q11" s="86"/>
      <c r="R11" s="84"/>
    </row>
    <row r="12" spans="1:18" ht="15.5">
      <c r="B12" s="34" t="s">
        <v>76</v>
      </c>
      <c r="C12" s="60" t="s">
        <v>77</v>
      </c>
      <c r="D12" s="60" t="s">
        <v>78</v>
      </c>
      <c r="E12" s="43" t="s">
        <v>79</v>
      </c>
      <c r="F12" s="60" t="s">
        <v>80</v>
      </c>
      <c r="G12" s="60" t="s">
        <v>81</v>
      </c>
      <c r="H12" s="35" t="s">
        <v>100</v>
      </c>
      <c r="I12" s="46"/>
      <c r="J12" s="46"/>
      <c r="K12" s="84"/>
      <c r="L12" s="86"/>
      <c r="M12" s="86"/>
      <c r="N12" s="86"/>
      <c r="O12" s="86"/>
      <c r="P12" s="86"/>
      <c r="Q12" s="86"/>
      <c r="R12" s="84"/>
    </row>
    <row r="13" spans="1:18" ht="15.65" customHeight="1">
      <c r="A13" t="s">
        <v>348</v>
      </c>
      <c r="B13" s="93" t="s">
        <v>89</v>
      </c>
      <c r="C13" s="93" t="s">
        <v>125</v>
      </c>
      <c r="D13" s="93">
        <v>165694</v>
      </c>
      <c r="E13" s="95" t="s">
        <v>275</v>
      </c>
      <c r="F13" s="36" t="s">
        <v>272</v>
      </c>
      <c r="G13" s="61"/>
      <c r="H13" s="176"/>
      <c r="I13" s="156" t="s">
        <v>88</v>
      </c>
      <c r="J13" s="46"/>
      <c r="K13" s="84"/>
      <c r="L13" s="88"/>
      <c r="M13" s="89"/>
      <c r="N13" s="89"/>
      <c r="O13" s="89"/>
      <c r="P13" s="81"/>
      <c r="Q13" s="69"/>
      <c r="R13" s="84"/>
    </row>
    <row r="14" spans="1:18" ht="15.65" customHeight="1">
      <c r="A14" t="s">
        <v>348</v>
      </c>
      <c r="B14" s="93" t="s">
        <v>89</v>
      </c>
      <c r="C14" s="93" t="s">
        <v>102</v>
      </c>
      <c r="D14" s="93">
        <v>181703</v>
      </c>
      <c r="E14" s="95" t="s">
        <v>286</v>
      </c>
      <c r="F14" s="36" t="s">
        <v>272</v>
      </c>
      <c r="G14" s="61"/>
      <c r="H14" s="176"/>
      <c r="I14" s="156" t="s">
        <v>88</v>
      </c>
      <c r="J14" s="46"/>
      <c r="K14" s="84"/>
      <c r="L14" s="90"/>
      <c r="M14" s="87"/>
      <c r="N14" s="87"/>
      <c r="O14" s="89"/>
      <c r="P14" s="81"/>
      <c r="Q14" s="59"/>
      <c r="R14" s="84"/>
    </row>
    <row r="15" spans="1:18" ht="15.65" customHeight="1">
      <c r="A15" t="s">
        <v>348</v>
      </c>
      <c r="B15" s="93" t="s">
        <v>89</v>
      </c>
      <c r="C15" s="93" t="s">
        <v>102</v>
      </c>
      <c r="D15" s="93">
        <v>166357</v>
      </c>
      <c r="E15" s="95" t="s">
        <v>287</v>
      </c>
      <c r="F15" s="36" t="s">
        <v>268</v>
      </c>
      <c r="G15" s="61"/>
      <c r="H15" s="176"/>
      <c r="I15" s="156" t="s">
        <v>384</v>
      </c>
      <c r="J15" s="46"/>
      <c r="K15" s="84"/>
      <c r="L15" s="90"/>
      <c r="M15" s="87"/>
      <c r="N15" s="87"/>
      <c r="O15" s="89"/>
      <c r="P15" s="81"/>
      <c r="Q15" s="59"/>
      <c r="R15" s="84"/>
    </row>
    <row r="16" spans="1:18" ht="15.65" customHeight="1">
      <c r="A16" t="s">
        <v>348</v>
      </c>
      <c r="B16" s="93" t="s">
        <v>89</v>
      </c>
      <c r="C16" s="93" t="s">
        <v>116</v>
      </c>
      <c r="D16" s="93">
        <v>129165</v>
      </c>
      <c r="E16" s="95" t="s">
        <v>278</v>
      </c>
      <c r="F16" s="36" t="s">
        <v>268</v>
      </c>
      <c r="G16" s="61"/>
      <c r="H16" s="176"/>
      <c r="I16" s="156" t="s">
        <v>88</v>
      </c>
      <c r="J16" s="46"/>
      <c r="K16" s="84"/>
      <c r="L16" s="90"/>
      <c r="M16" s="87"/>
      <c r="N16" s="89"/>
      <c r="O16" s="89"/>
      <c r="P16" s="81"/>
      <c r="Q16" s="59"/>
      <c r="R16" s="84"/>
    </row>
    <row r="17" spans="1:18" ht="15" customHeight="1">
      <c r="A17" t="s">
        <v>348</v>
      </c>
      <c r="B17" s="93" t="s">
        <v>89</v>
      </c>
      <c r="C17" s="207" t="s">
        <v>116</v>
      </c>
      <c r="D17" s="207">
        <v>64576</v>
      </c>
      <c r="E17" s="85" t="s">
        <v>293</v>
      </c>
      <c r="F17" s="37" t="s">
        <v>268</v>
      </c>
      <c r="G17" s="83"/>
      <c r="H17" s="176"/>
      <c r="I17" s="156" t="s">
        <v>88</v>
      </c>
      <c r="J17" s="46"/>
      <c r="K17" s="84"/>
      <c r="L17" s="90"/>
      <c r="M17" s="87"/>
      <c r="N17" s="87"/>
      <c r="O17" s="89"/>
      <c r="P17" s="81"/>
      <c r="Q17" s="59"/>
      <c r="R17" s="84"/>
    </row>
    <row r="18" spans="1:18" ht="15.75" customHeight="1">
      <c r="A18" t="s">
        <v>348</v>
      </c>
      <c r="B18" s="331" t="s">
        <v>89</v>
      </c>
      <c r="C18" s="332" t="s">
        <v>116</v>
      </c>
      <c r="D18" s="332">
        <v>162613</v>
      </c>
      <c r="E18" s="333" t="s">
        <v>294</v>
      </c>
      <c r="F18" s="334" t="s">
        <v>268</v>
      </c>
      <c r="G18" s="335"/>
      <c r="H18" s="336"/>
      <c r="I18" s="267" t="s">
        <v>379</v>
      </c>
      <c r="J18" s="46"/>
      <c r="K18" s="84"/>
      <c r="L18" s="86"/>
      <c r="M18" s="86"/>
      <c r="N18" s="86"/>
      <c r="O18" s="86"/>
      <c r="P18" s="84"/>
      <c r="Q18" s="84"/>
      <c r="R18" s="84"/>
    </row>
    <row r="19" spans="1:18" ht="15.65" customHeight="1">
      <c r="A19" t="s">
        <v>348</v>
      </c>
      <c r="B19" s="93" t="s">
        <v>89</v>
      </c>
      <c r="C19" s="208" t="s">
        <v>116</v>
      </c>
      <c r="D19" s="208">
        <v>179616</v>
      </c>
      <c r="E19" s="92" t="s">
        <v>295</v>
      </c>
      <c r="F19" s="37" t="s">
        <v>268</v>
      </c>
      <c r="G19" s="83"/>
      <c r="H19" s="176"/>
      <c r="I19" s="156" t="s">
        <v>88</v>
      </c>
      <c r="J19" s="46"/>
      <c r="K19" s="84"/>
      <c r="L19" s="86"/>
      <c r="M19" s="86"/>
      <c r="N19" s="86"/>
      <c r="O19" s="86"/>
      <c r="P19" s="84"/>
      <c r="Q19" s="84"/>
      <c r="R19" s="84"/>
    </row>
    <row r="20" spans="1:18">
      <c r="B20" s="84"/>
      <c r="C20" s="216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</row>
    <row r="21" spans="1:18" ht="15.65" customHeight="1">
      <c r="B21" s="80" t="s">
        <v>296</v>
      </c>
      <c r="C21" s="211"/>
      <c r="D21" s="211"/>
      <c r="E21" s="80"/>
      <c r="F21" s="32"/>
      <c r="G21" s="32"/>
      <c r="H21" s="32"/>
      <c r="I21" s="46"/>
      <c r="J21" s="46"/>
      <c r="K21" s="84"/>
      <c r="L21" s="86"/>
      <c r="M21" s="86"/>
      <c r="N21" s="86"/>
      <c r="O21" s="86"/>
      <c r="P21" s="86"/>
      <c r="Q21" s="86"/>
      <c r="R21" s="84"/>
    </row>
    <row r="22" spans="1:18" ht="15.5">
      <c r="B22" s="34" t="s">
        <v>76</v>
      </c>
      <c r="C22" s="60" t="s">
        <v>77</v>
      </c>
      <c r="D22" s="60" t="s">
        <v>78</v>
      </c>
      <c r="E22" s="34" t="s">
        <v>79</v>
      </c>
      <c r="F22" s="34" t="s">
        <v>80</v>
      </c>
      <c r="G22" s="60" t="s">
        <v>81</v>
      </c>
      <c r="H22" s="35" t="s">
        <v>100</v>
      </c>
      <c r="I22" s="46"/>
      <c r="J22" s="46"/>
      <c r="K22" s="84"/>
      <c r="L22" s="86"/>
      <c r="M22" s="86"/>
      <c r="N22" s="86"/>
      <c r="O22" s="86"/>
      <c r="P22" s="86"/>
      <c r="Q22" s="86"/>
      <c r="R22" s="84"/>
    </row>
    <row r="23" spans="1:18" ht="15.65" customHeight="1">
      <c r="A23" t="s">
        <v>348</v>
      </c>
      <c r="B23" s="228" t="s">
        <v>89</v>
      </c>
      <c r="C23" s="228" t="s">
        <v>121</v>
      </c>
      <c r="D23" s="228">
        <v>128282</v>
      </c>
      <c r="E23" s="229" t="s">
        <v>267</v>
      </c>
      <c r="F23" s="343" t="s">
        <v>268</v>
      </c>
      <c r="G23" s="344"/>
      <c r="H23" s="345" t="s">
        <v>330</v>
      </c>
      <c r="I23" s="271" t="s">
        <v>377</v>
      </c>
      <c r="J23" s="46"/>
      <c r="K23" s="84"/>
      <c r="L23" s="88"/>
      <c r="M23" s="89"/>
      <c r="N23" s="89"/>
      <c r="O23" s="89"/>
      <c r="P23" s="81"/>
      <c r="Q23" s="69"/>
      <c r="R23" s="84"/>
    </row>
    <row r="24" spans="1:18" ht="15.65" customHeight="1">
      <c r="A24" t="s">
        <v>348</v>
      </c>
      <c r="B24" s="337" t="s">
        <v>89</v>
      </c>
      <c r="C24" s="337" t="s">
        <v>121</v>
      </c>
      <c r="D24" s="337">
        <v>114752</v>
      </c>
      <c r="E24" s="338" t="s">
        <v>164</v>
      </c>
      <c r="F24" s="339" t="s">
        <v>268</v>
      </c>
      <c r="G24" s="340"/>
      <c r="H24" s="341"/>
      <c r="I24" s="342" t="s">
        <v>88</v>
      </c>
      <c r="J24" s="46"/>
      <c r="K24" s="84"/>
      <c r="L24" s="90"/>
      <c r="M24" s="87"/>
      <c r="N24" s="87"/>
      <c r="O24" s="89"/>
      <c r="P24" s="81"/>
      <c r="Q24" s="59"/>
      <c r="R24" s="84"/>
    </row>
    <row r="25" spans="1:18" ht="15.65" customHeight="1">
      <c r="A25" t="s">
        <v>348</v>
      </c>
      <c r="B25" s="93" t="s">
        <v>89</v>
      </c>
      <c r="C25" s="93" t="s">
        <v>102</v>
      </c>
      <c r="D25" s="93">
        <v>154728</v>
      </c>
      <c r="E25" s="95" t="s">
        <v>269</v>
      </c>
      <c r="F25" s="36" t="s">
        <v>268</v>
      </c>
      <c r="G25" s="61"/>
      <c r="H25" s="176"/>
      <c r="I25" s="156" t="s">
        <v>88</v>
      </c>
      <c r="J25" s="46"/>
      <c r="K25" s="84"/>
      <c r="L25" s="90"/>
      <c r="M25" s="87"/>
      <c r="N25" s="87"/>
      <c r="O25" s="89"/>
      <c r="P25" s="81"/>
      <c r="Q25" s="59"/>
      <c r="R25" s="84"/>
    </row>
    <row r="26" spans="1:18" ht="15.65" customHeight="1">
      <c r="A26" t="s">
        <v>348</v>
      </c>
      <c r="B26" s="93" t="s">
        <v>89</v>
      </c>
      <c r="C26" s="93" t="s">
        <v>102</v>
      </c>
      <c r="D26" s="93">
        <v>149930</v>
      </c>
      <c r="E26" s="95" t="s">
        <v>270</v>
      </c>
      <c r="F26" s="36" t="s">
        <v>268</v>
      </c>
      <c r="G26" s="61"/>
      <c r="H26" s="176"/>
      <c r="I26" s="156" t="s">
        <v>88</v>
      </c>
      <c r="J26" s="46"/>
      <c r="K26" s="84"/>
      <c r="L26" s="90"/>
      <c r="M26" s="87"/>
      <c r="N26" s="89"/>
      <c r="O26" s="89"/>
      <c r="P26" s="81"/>
      <c r="Q26" s="59"/>
      <c r="R26" s="84"/>
    </row>
    <row r="27" spans="1:18" ht="15" customHeight="1">
      <c r="A27" t="s">
        <v>348</v>
      </c>
      <c r="B27" s="93" t="s">
        <v>89</v>
      </c>
      <c r="C27" s="207" t="s">
        <v>116</v>
      </c>
      <c r="D27" s="207">
        <v>136865</v>
      </c>
      <c r="E27" s="85" t="s">
        <v>297</v>
      </c>
      <c r="F27" s="37" t="s">
        <v>268</v>
      </c>
      <c r="G27" s="83"/>
      <c r="H27" s="176"/>
      <c r="I27" s="156" t="s">
        <v>88</v>
      </c>
      <c r="J27" s="46"/>
      <c r="K27" s="84"/>
      <c r="L27" s="90"/>
      <c r="M27" s="87"/>
      <c r="N27" s="87"/>
      <c r="O27" s="89"/>
      <c r="P27" s="81"/>
      <c r="Q27" s="59"/>
      <c r="R27" s="84"/>
    </row>
    <row r="28" spans="1:18" ht="15.75" customHeight="1">
      <c r="A28" t="s">
        <v>348</v>
      </c>
      <c r="B28" s="93" t="s">
        <v>89</v>
      </c>
      <c r="C28" s="82" t="s">
        <v>116</v>
      </c>
      <c r="D28" s="82">
        <v>175354</v>
      </c>
      <c r="E28" s="85" t="s">
        <v>298</v>
      </c>
      <c r="F28" s="37" t="s">
        <v>268</v>
      </c>
      <c r="G28" s="83"/>
      <c r="H28" s="176"/>
      <c r="I28" s="72" t="s">
        <v>383</v>
      </c>
      <c r="J28" s="46"/>
      <c r="K28" s="84"/>
      <c r="L28" s="86"/>
      <c r="M28" s="86"/>
      <c r="N28" s="86"/>
      <c r="O28" s="86"/>
      <c r="P28" s="84"/>
      <c r="Q28" s="84"/>
      <c r="R28" s="84"/>
    </row>
    <row r="29" spans="1:18" ht="15.65" customHeight="1">
      <c r="A29" t="s">
        <v>348</v>
      </c>
      <c r="B29" s="93" t="s">
        <v>89</v>
      </c>
      <c r="C29" s="208" t="s">
        <v>116</v>
      </c>
      <c r="D29" s="208">
        <v>177158</v>
      </c>
      <c r="E29" s="92" t="s">
        <v>299</v>
      </c>
      <c r="F29" s="37" t="s">
        <v>268</v>
      </c>
      <c r="G29" s="83"/>
      <c r="H29" s="176"/>
      <c r="I29" s="156" t="s">
        <v>88</v>
      </c>
      <c r="J29" s="46"/>
      <c r="K29" s="84"/>
      <c r="L29" s="86"/>
      <c r="M29" s="86"/>
      <c r="N29" s="86"/>
      <c r="O29" s="86"/>
      <c r="P29" s="84"/>
      <c r="Q29" s="84"/>
      <c r="R29" s="84"/>
    </row>
    <row r="30" spans="1:18" ht="15.65" customHeight="1">
      <c r="A30" t="s">
        <v>348</v>
      </c>
      <c r="B30" s="93" t="s">
        <v>89</v>
      </c>
      <c r="C30" s="208" t="s">
        <v>110</v>
      </c>
      <c r="D30" s="208">
        <v>116086</v>
      </c>
      <c r="E30" s="92" t="s">
        <v>273</v>
      </c>
      <c r="F30" s="37" t="s">
        <v>268</v>
      </c>
      <c r="G30" s="83"/>
      <c r="H30" s="176"/>
      <c r="I30" s="156" t="s">
        <v>88</v>
      </c>
      <c r="J30" s="46"/>
      <c r="K30" s="84"/>
      <c r="L30" s="86"/>
      <c r="M30" s="86"/>
      <c r="N30" s="86"/>
      <c r="O30" s="86"/>
      <c r="P30" s="84"/>
      <c r="Q30" s="84"/>
      <c r="R30" s="84"/>
    </row>
    <row r="31" spans="1:18" ht="14.25" customHeight="1">
      <c r="B31" s="101"/>
      <c r="C31" s="217"/>
      <c r="D31" s="217"/>
      <c r="E31" s="71"/>
      <c r="F31" s="41"/>
      <c r="G31" s="70"/>
      <c r="H31" s="45"/>
      <c r="I31" s="46"/>
      <c r="J31" s="46"/>
      <c r="K31" s="84"/>
      <c r="L31" s="86"/>
      <c r="M31" s="86"/>
      <c r="N31" s="86"/>
      <c r="O31" s="86"/>
      <c r="P31" s="84"/>
      <c r="Q31" s="84"/>
      <c r="R31" s="84"/>
    </row>
    <row r="32" spans="1:18" s="84" customFormat="1" ht="15.65" customHeight="1">
      <c r="B32" s="80" t="s">
        <v>369</v>
      </c>
      <c r="C32" s="32"/>
      <c r="D32" s="32"/>
      <c r="E32" s="80"/>
      <c r="F32" s="32"/>
      <c r="G32" s="32"/>
      <c r="H32" s="32"/>
      <c r="I32" s="46"/>
      <c r="J32" s="46"/>
      <c r="L32" s="86"/>
      <c r="M32" s="86"/>
      <c r="N32" s="86"/>
      <c r="O32" s="86"/>
      <c r="P32" s="86"/>
      <c r="Q32" s="86"/>
    </row>
    <row r="33" spans="1:17" s="84" customFormat="1" ht="15.5">
      <c r="B33" s="34" t="s">
        <v>76</v>
      </c>
      <c r="C33" s="34" t="s">
        <v>77</v>
      </c>
      <c r="D33" s="34" t="s">
        <v>78</v>
      </c>
      <c r="E33" s="43" t="s">
        <v>79</v>
      </c>
      <c r="F33" s="34" t="s">
        <v>80</v>
      </c>
      <c r="G33" s="60" t="s">
        <v>81</v>
      </c>
      <c r="H33" s="35" t="s">
        <v>100</v>
      </c>
      <c r="I33" s="46"/>
      <c r="J33" s="46"/>
      <c r="L33" s="86"/>
      <c r="M33" s="86"/>
      <c r="N33" s="86"/>
      <c r="O33" s="86"/>
      <c r="P33" s="86"/>
      <c r="Q33" s="86"/>
    </row>
    <row r="34" spans="1:17" s="84" customFormat="1" ht="15.65" customHeight="1">
      <c r="A34" s="268" t="s">
        <v>341</v>
      </c>
      <c r="B34" s="93" t="s">
        <v>89</v>
      </c>
      <c r="C34" s="103" t="s">
        <v>350</v>
      </c>
      <c r="D34" s="103">
        <v>179390</v>
      </c>
      <c r="E34" s="92" t="s">
        <v>351</v>
      </c>
      <c r="F34" s="36"/>
      <c r="G34" s="61"/>
      <c r="H34" s="176"/>
      <c r="I34" s="156" t="s">
        <v>88</v>
      </c>
      <c r="J34" s="46"/>
      <c r="L34" s="88"/>
      <c r="M34" s="89"/>
      <c r="N34" s="89"/>
      <c r="O34" s="89"/>
      <c r="P34" s="81"/>
      <c r="Q34" s="69"/>
    </row>
    <row r="35" spans="1:17" s="84" customFormat="1" ht="15.65" customHeight="1">
      <c r="A35" s="268" t="s">
        <v>341</v>
      </c>
      <c r="B35" s="93" t="s">
        <v>89</v>
      </c>
      <c r="C35" s="103" t="s">
        <v>352</v>
      </c>
      <c r="D35" s="103">
        <v>150354</v>
      </c>
      <c r="E35" s="92" t="s">
        <v>353</v>
      </c>
      <c r="F35" s="36"/>
      <c r="G35" s="61"/>
      <c r="H35" s="176"/>
      <c r="I35" s="156" t="s">
        <v>88</v>
      </c>
      <c r="J35" s="46"/>
      <c r="L35" s="90"/>
      <c r="M35" s="87"/>
      <c r="N35" s="87"/>
      <c r="O35" s="89"/>
      <c r="P35" s="81"/>
      <c r="Q35" s="59"/>
    </row>
    <row r="36" spans="1:17" s="84" customFormat="1" ht="15.65" customHeight="1">
      <c r="A36" s="268" t="s">
        <v>341</v>
      </c>
      <c r="B36" s="93" t="s">
        <v>89</v>
      </c>
      <c r="C36" s="103" t="s">
        <v>354</v>
      </c>
      <c r="D36" s="103">
        <v>125874</v>
      </c>
      <c r="E36" s="92" t="s">
        <v>355</v>
      </c>
      <c r="F36" s="36"/>
      <c r="G36" s="61"/>
      <c r="H36" s="176"/>
      <c r="I36" s="156" t="s">
        <v>88</v>
      </c>
      <c r="J36" s="46"/>
      <c r="L36" s="90"/>
      <c r="M36" s="87"/>
      <c r="N36" s="87"/>
      <c r="O36" s="89"/>
      <c r="P36" s="81"/>
      <c r="Q36" s="59"/>
    </row>
    <row r="37" spans="1:17" s="84" customFormat="1" ht="15.65" customHeight="1">
      <c r="A37" s="268" t="s">
        <v>341</v>
      </c>
      <c r="B37" s="93" t="s">
        <v>89</v>
      </c>
      <c r="C37" s="103" t="s">
        <v>354</v>
      </c>
      <c r="D37" s="103">
        <v>176216</v>
      </c>
      <c r="E37" s="92" t="s">
        <v>356</v>
      </c>
      <c r="F37" s="36"/>
      <c r="G37" s="61"/>
      <c r="H37" s="176"/>
      <c r="I37" s="156" t="s">
        <v>88</v>
      </c>
      <c r="J37" s="46"/>
      <c r="L37" s="90"/>
      <c r="M37" s="87"/>
      <c r="N37" s="89"/>
      <c r="O37" s="89"/>
      <c r="P37" s="81"/>
      <c r="Q37" s="59"/>
    </row>
    <row r="38" spans="1:17" s="84" customFormat="1" ht="15" customHeight="1">
      <c r="B38" s="93" t="s">
        <v>89</v>
      </c>
      <c r="C38" s="96"/>
      <c r="D38" s="96"/>
      <c r="E38" s="85"/>
      <c r="F38" s="37"/>
      <c r="G38" s="83"/>
      <c r="H38" s="176"/>
      <c r="I38" s="46"/>
      <c r="J38" s="46"/>
      <c r="L38" s="90"/>
      <c r="M38" s="87"/>
      <c r="N38" s="87"/>
      <c r="O38" s="89"/>
      <c r="P38" s="81"/>
      <c r="Q38" s="59"/>
    </row>
    <row r="39" spans="1:17" s="84" customFormat="1" ht="15.75" customHeight="1">
      <c r="B39" s="93" t="s">
        <v>89</v>
      </c>
      <c r="C39" s="97"/>
      <c r="D39" s="97"/>
      <c r="E39" s="85"/>
      <c r="F39" s="37"/>
      <c r="G39" s="83"/>
      <c r="H39" s="176"/>
      <c r="I39" s="46"/>
      <c r="J39" s="46"/>
      <c r="L39" s="86"/>
      <c r="M39" s="86"/>
      <c r="N39" s="86"/>
      <c r="O39" s="86"/>
    </row>
    <row r="40" spans="1:17" s="84" customFormat="1" ht="15.65" customHeight="1">
      <c r="B40" s="93" t="s">
        <v>89</v>
      </c>
      <c r="C40" s="103"/>
      <c r="D40" s="103"/>
      <c r="E40" s="92"/>
      <c r="F40" s="37"/>
      <c r="G40" s="83"/>
      <c r="H40" s="176"/>
      <c r="I40" s="46"/>
      <c r="J40" s="46"/>
      <c r="L40" s="86"/>
      <c r="M40" s="86"/>
      <c r="N40" s="86"/>
      <c r="O40" s="86"/>
    </row>
    <row r="41" spans="1:17" s="84" customFormat="1" ht="14.75" customHeight="1">
      <c r="B41" s="77"/>
      <c r="C41" s="89"/>
      <c r="D41" s="79"/>
      <c r="E41" s="71"/>
      <c r="F41" s="41"/>
      <c r="G41" s="70"/>
      <c r="H41" s="45"/>
      <c r="I41" s="46"/>
      <c r="J41" s="46"/>
      <c r="L41" s="90"/>
      <c r="M41" s="87"/>
      <c r="N41" s="87"/>
      <c r="O41" s="89"/>
    </row>
    <row r="42" spans="1:17" s="84" customFormat="1" ht="15.65" customHeight="1">
      <c r="B42" s="80" t="s">
        <v>370</v>
      </c>
      <c r="C42" s="32"/>
      <c r="D42" s="32"/>
      <c r="E42" s="80"/>
      <c r="F42" s="32"/>
      <c r="G42" s="32"/>
      <c r="H42" s="32"/>
      <c r="I42" s="46"/>
      <c r="J42" s="46"/>
      <c r="L42" s="86"/>
      <c r="M42" s="86"/>
      <c r="N42" s="86"/>
      <c r="O42" s="86"/>
      <c r="P42" s="86"/>
      <c r="Q42" s="86"/>
    </row>
    <row r="43" spans="1:17" s="84" customFormat="1" ht="15.5">
      <c r="B43" s="34" t="s">
        <v>76</v>
      </c>
      <c r="C43" s="34" t="s">
        <v>77</v>
      </c>
      <c r="D43" s="34" t="s">
        <v>78</v>
      </c>
      <c r="E43" s="43" t="s">
        <v>79</v>
      </c>
      <c r="F43" s="34" t="s">
        <v>80</v>
      </c>
      <c r="G43" s="60" t="s">
        <v>81</v>
      </c>
      <c r="H43" s="35" t="s">
        <v>100</v>
      </c>
      <c r="I43" s="46"/>
      <c r="J43" s="46"/>
      <c r="L43" s="86"/>
      <c r="M43" s="86"/>
      <c r="N43" s="86"/>
      <c r="O43" s="86"/>
      <c r="P43" s="86"/>
      <c r="Q43" s="86"/>
    </row>
    <row r="44" spans="1:17" s="84" customFormat="1" ht="15.65" customHeight="1">
      <c r="A44" s="268" t="s">
        <v>341</v>
      </c>
      <c r="B44" s="93" t="s">
        <v>89</v>
      </c>
      <c r="C44" s="103" t="s">
        <v>354</v>
      </c>
      <c r="D44" s="103">
        <v>168648</v>
      </c>
      <c r="E44" s="103" t="s">
        <v>357</v>
      </c>
      <c r="F44" s="36"/>
      <c r="G44" s="61"/>
      <c r="H44" s="176"/>
      <c r="I44" s="156" t="s">
        <v>88</v>
      </c>
      <c r="J44" s="46"/>
      <c r="L44" s="88"/>
      <c r="M44" s="89"/>
      <c r="N44" s="89"/>
      <c r="O44" s="89"/>
      <c r="P44" s="81"/>
      <c r="Q44" s="69"/>
    </row>
    <row r="45" spans="1:17" s="84" customFormat="1" ht="15.65" customHeight="1">
      <c r="A45" s="268" t="s">
        <v>341</v>
      </c>
      <c r="B45" s="93" t="s">
        <v>89</v>
      </c>
      <c r="C45" s="103" t="s">
        <v>350</v>
      </c>
      <c r="D45" s="103">
        <v>176214</v>
      </c>
      <c r="E45" s="103" t="s">
        <v>359</v>
      </c>
      <c r="F45" s="36"/>
      <c r="G45" s="61"/>
      <c r="H45" s="176"/>
      <c r="I45" s="156" t="s">
        <v>88</v>
      </c>
      <c r="J45" s="46"/>
      <c r="L45" s="90"/>
      <c r="M45" s="87"/>
      <c r="N45" s="87"/>
      <c r="O45" s="89"/>
      <c r="P45" s="81"/>
      <c r="Q45" s="59"/>
    </row>
    <row r="46" spans="1:17" s="84" customFormat="1" ht="15.65" customHeight="1">
      <c r="A46" s="268" t="s">
        <v>341</v>
      </c>
      <c r="B46" s="299" t="s">
        <v>89</v>
      </c>
      <c r="C46" s="300" t="s">
        <v>352</v>
      </c>
      <c r="D46" s="300">
        <v>179367</v>
      </c>
      <c r="E46" s="300" t="s">
        <v>367</v>
      </c>
      <c r="F46" s="301"/>
      <c r="G46" s="302"/>
      <c r="H46" s="287"/>
      <c r="I46" s="72" t="s">
        <v>380</v>
      </c>
      <c r="J46" s="46"/>
      <c r="L46" s="90"/>
      <c r="M46" s="87"/>
      <c r="N46" s="87"/>
      <c r="O46" s="89"/>
      <c r="P46" s="81"/>
      <c r="Q46" s="59"/>
    </row>
    <row r="47" spans="1:17" s="84" customFormat="1" ht="15.65" customHeight="1">
      <c r="A47" s="268" t="s">
        <v>341</v>
      </c>
      <c r="B47" s="93" t="s">
        <v>89</v>
      </c>
      <c r="C47" s="103" t="s">
        <v>354</v>
      </c>
      <c r="D47" s="103">
        <v>176108</v>
      </c>
      <c r="E47" s="103" t="s">
        <v>363</v>
      </c>
      <c r="F47" s="36"/>
      <c r="G47" s="61"/>
      <c r="H47" s="176"/>
      <c r="I47" s="72" t="s">
        <v>330</v>
      </c>
      <c r="J47" s="46"/>
      <c r="L47" s="90"/>
      <c r="M47" s="87"/>
      <c r="N47" s="89"/>
      <c r="O47" s="89"/>
      <c r="P47" s="81"/>
      <c r="Q47" s="59"/>
    </row>
    <row r="48" spans="1:17" s="84" customFormat="1" ht="15" customHeight="1">
      <c r="B48" s="93" t="s">
        <v>89</v>
      </c>
      <c r="C48" s="96"/>
      <c r="D48" s="96"/>
      <c r="E48" s="85"/>
      <c r="F48" s="37"/>
      <c r="G48" s="83"/>
      <c r="H48" s="176"/>
      <c r="I48" s="46"/>
      <c r="J48" s="46"/>
      <c r="L48" s="90"/>
      <c r="M48" s="87"/>
      <c r="N48" s="87"/>
      <c r="O48" s="89"/>
      <c r="P48" s="81"/>
      <c r="Q48" s="59"/>
    </row>
    <row r="49" spans="1:18" s="84" customFormat="1" ht="15.75" customHeight="1">
      <c r="B49" s="93" t="s">
        <v>89</v>
      </c>
      <c r="C49" s="97"/>
      <c r="D49" s="97"/>
      <c r="E49" s="85"/>
      <c r="F49" s="37"/>
      <c r="G49" s="83"/>
      <c r="H49" s="176"/>
      <c r="I49" s="46"/>
      <c r="J49" s="46"/>
      <c r="L49" s="86"/>
      <c r="M49" s="86"/>
      <c r="N49" s="86"/>
      <c r="O49" s="86"/>
    </row>
    <row r="50" spans="1:18" s="84" customFormat="1" ht="15.65" customHeight="1">
      <c r="B50" s="93" t="s">
        <v>89</v>
      </c>
      <c r="C50" s="103"/>
      <c r="D50" s="103"/>
      <c r="E50" s="92"/>
      <c r="F50" s="37"/>
      <c r="G50" s="83"/>
      <c r="H50" s="176"/>
      <c r="I50" s="46"/>
      <c r="J50" s="46"/>
      <c r="L50" s="86"/>
      <c r="M50" s="86"/>
      <c r="N50" s="86"/>
      <c r="O50" s="86"/>
    </row>
    <row r="51" spans="1:18" s="84" customFormat="1"/>
    <row r="52" spans="1:18" s="84" customFormat="1" ht="15.65" customHeight="1">
      <c r="B52" s="80" t="s">
        <v>472</v>
      </c>
      <c r="C52" s="32"/>
      <c r="D52" s="32"/>
      <c r="E52" s="80"/>
      <c r="F52" s="32"/>
      <c r="G52" s="32"/>
      <c r="H52" s="32"/>
      <c r="I52" s="46"/>
      <c r="J52" s="46"/>
      <c r="L52" s="86"/>
      <c r="M52" s="86"/>
      <c r="N52" s="86"/>
      <c r="O52" s="86"/>
      <c r="P52" s="86"/>
      <c r="Q52" s="86"/>
    </row>
    <row r="53" spans="1:18" s="84" customFormat="1" ht="15.5">
      <c r="B53" s="34" t="s">
        <v>76</v>
      </c>
      <c r="C53" s="34" t="s">
        <v>77</v>
      </c>
      <c r="D53" s="34" t="s">
        <v>78</v>
      </c>
      <c r="E53" s="43" t="s">
        <v>79</v>
      </c>
      <c r="F53" s="34" t="s">
        <v>80</v>
      </c>
      <c r="G53" s="60" t="s">
        <v>81</v>
      </c>
      <c r="H53" s="35" t="s">
        <v>100</v>
      </c>
      <c r="I53" s="46"/>
      <c r="J53" s="46"/>
      <c r="L53" s="86"/>
      <c r="M53" s="86"/>
      <c r="N53" s="86"/>
      <c r="O53" s="86"/>
      <c r="P53" s="86"/>
      <c r="Q53" s="86"/>
    </row>
    <row r="54" spans="1:18" s="84" customFormat="1" ht="15.65" customHeight="1">
      <c r="A54" s="268" t="s">
        <v>341</v>
      </c>
      <c r="B54" s="93" t="s">
        <v>89</v>
      </c>
      <c r="C54" s="263" t="s">
        <v>354</v>
      </c>
      <c r="D54" s="263">
        <v>179572</v>
      </c>
      <c r="E54" s="263" t="s">
        <v>364</v>
      </c>
      <c r="F54" s="263"/>
      <c r="G54" s="263"/>
      <c r="H54" s="176"/>
      <c r="I54" s="156" t="s">
        <v>88</v>
      </c>
      <c r="J54" s="46"/>
      <c r="L54" s="88"/>
      <c r="M54" s="89"/>
      <c r="N54" s="89"/>
      <c r="O54" s="89"/>
      <c r="P54" s="81"/>
      <c r="Q54" s="69"/>
    </row>
    <row r="55" spans="1:18" s="84" customFormat="1" ht="15.65" customHeight="1">
      <c r="A55" s="268" t="s">
        <v>341</v>
      </c>
      <c r="B55" s="93" t="s">
        <v>89</v>
      </c>
      <c r="C55" s="263" t="s">
        <v>354</v>
      </c>
      <c r="D55" s="263">
        <v>180320</v>
      </c>
      <c r="E55" s="263" t="s">
        <v>365</v>
      </c>
      <c r="F55" s="263"/>
      <c r="G55" s="263"/>
      <c r="H55" s="176"/>
      <c r="I55" s="156" t="s">
        <v>88</v>
      </c>
      <c r="J55" s="46"/>
      <c r="L55" s="90"/>
      <c r="M55" s="87"/>
      <c r="N55" s="87"/>
      <c r="O55" s="89"/>
      <c r="P55" s="81"/>
      <c r="Q55" s="59"/>
    </row>
    <row r="56" spans="1:18" s="84" customFormat="1" ht="15.65" customHeight="1">
      <c r="A56" s="268" t="s">
        <v>341</v>
      </c>
      <c r="B56" s="93" t="s">
        <v>89</v>
      </c>
      <c r="C56" s="263" t="s">
        <v>354</v>
      </c>
      <c r="D56" s="263">
        <v>175105</v>
      </c>
      <c r="E56" s="263" t="s">
        <v>366</v>
      </c>
      <c r="F56" s="263"/>
      <c r="G56" s="263"/>
      <c r="H56" s="176"/>
      <c r="I56" s="156" t="s">
        <v>381</v>
      </c>
      <c r="J56" s="46"/>
      <c r="L56" s="90"/>
      <c r="M56" s="87"/>
      <c r="N56" s="87"/>
      <c r="O56" s="89"/>
      <c r="P56" s="81"/>
      <c r="Q56" s="59"/>
    </row>
    <row r="57" spans="1:18" s="84" customFormat="1" ht="15.65" customHeight="1">
      <c r="A57" s="268" t="s">
        <v>341</v>
      </c>
      <c r="B57" s="93" t="s">
        <v>89</v>
      </c>
      <c r="C57" s="263" t="s">
        <v>352</v>
      </c>
      <c r="D57" s="263">
        <v>181740</v>
      </c>
      <c r="E57" s="263" t="s">
        <v>362</v>
      </c>
      <c r="F57" s="263"/>
      <c r="G57" s="263"/>
      <c r="H57" s="176"/>
      <c r="I57" s="156" t="s">
        <v>88</v>
      </c>
      <c r="J57" s="46"/>
      <c r="L57" s="90"/>
      <c r="M57" s="87"/>
      <c r="N57" s="89"/>
      <c r="O57" s="89"/>
      <c r="P57" s="81"/>
      <c r="Q57" s="59"/>
    </row>
    <row r="58" spans="1:18" s="84" customFormat="1" ht="15" customHeight="1">
      <c r="B58" s="93" t="s">
        <v>89</v>
      </c>
      <c r="C58" s="96"/>
      <c r="D58" s="96"/>
      <c r="E58" s="85"/>
      <c r="F58" s="37"/>
      <c r="G58" s="83"/>
      <c r="H58" s="176"/>
      <c r="I58" s="46"/>
      <c r="J58" s="46"/>
      <c r="L58" s="90"/>
      <c r="M58" s="87"/>
      <c r="N58" s="87"/>
      <c r="O58" s="89"/>
      <c r="P58" s="81"/>
      <c r="Q58" s="59"/>
    </row>
    <row r="59" spans="1:18" s="84" customFormat="1" ht="15.75" customHeight="1">
      <c r="B59" s="93" t="s">
        <v>89</v>
      </c>
      <c r="C59" s="97"/>
      <c r="D59" s="97"/>
      <c r="E59" s="85"/>
      <c r="F59" s="37"/>
      <c r="G59" s="83"/>
      <c r="H59" s="176"/>
      <c r="I59" s="46"/>
      <c r="J59" s="46"/>
      <c r="L59" s="86"/>
      <c r="M59" s="86"/>
      <c r="N59" s="86"/>
      <c r="O59" s="86"/>
    </row>
    <row r="60" spans="1:18" s="84" customFormat="1" ht="15.65" customHeight="1">
      <c r="B60" s="93" t="s">
        <v>89</v>
      </c>
      <c r="C60" s="103"/>
      <c r="D60" s="103"/>
      <c r="E60" s="92"/>
      <c r="F60" s="37"/>
      <c r="G60" s="83"/>
      <c r="H60" s="176"/>
      <c r="I60" s="46"/>
      <c r="J60" s="46"/>
      <c r="L60" s="86"/>
      <c r="M60" s="86"/>
      <c r="N60" s="86"/>
      <c r="O60" s="86"/>
    </row>
    <row r="61" spans="1:18" ht="15.65" customHeight="1">
      <c r="B61" s="101"/>
      <c r="C61" s="217"/>
      <c r="D61" s="191"/>
      <c r="E61" s="71"/>
      <c r="F61" s="41"/>
      <c r="G61" s="70"/>
      <c r="H61" s="45"/>
      <c r="I61" s="46"/>
      <c r="J61" s="46"/>
      <c r="K61" s="84"/>
      <c r="L61" s="86"/>
      <c r="M61" s="86"/>
      <c r="N61" s="86"/>
      <c r="O61" s="86"/>
      <c r="P61" s="84"/>
      <c r="Q61" s="84"/>
      <c r="R61" s="84"/>
    </row>
    <row r="62" spans="1:18" ht="15.5">
      <c r="B62" s="80" t="s">
        <v>300</v>
      </c>
      <c r="C62" s="211"/>
      <c r="D62" s="32"/>
      <c r="E62" s="80"/>
      <c r="F62" s="32"/>
      <c r="G62" s="32"/>
      <c r="H62" s="32"/>
      <c r="I62" s="46"/>
      <c r="J62" s="46"/>
      <c r="K62" s="84"/>
      <c r="L62" s="86"/>
      <c r="M62" s="86"/>
      <c r="N62" s="86"/>
      <c r="O62" s="86"/>
      <c r="P62" s="86"/>
      <c r="Q62" s="86"/>
      <c r="R62" s="84"/>
    </row>
    <row r="63" spans="1:18" ht="15.65" customHeight="1">
      <c r="B63" s="34" t="s">
        <v>76</v>
      </c>
      <c r="C63" s="60" t="s">
        <v>77</v>
      </c>
      <c r="D63" s="34" t="s">
        <v>78</v>
      </c>
      <c r="E63" s="43" t="s">
        <v>79</v>
      </c>
      <c r="F63" s="34" t="s">
        <v>80</v>
      </c>
      <c r="G63" s="60" t="s">
        <v>81</v>
      </c>
      <c r="H63" s="35" t="s">
        <v>100</v>
      </c>
      <c r="I63" s="46"/>
      <c r="J63" s="46"/>
      <c r="K63" s="84"/>
      <c r="L63" s="86"/>
      <c r="M63" s="86"/>
      <c r="N63" s="86"/>
      <c r="O63" s="86"/>
      <c r="P63" s="86"/>
      <c r="Q63" s="86"/>
      <c r="R63" s="84"/>
    </row>
    <row r="64" spans="1:18" ht="15.65" customHeight="1">
      <c r="B64" s="93" t="s">
        <v>136</v>
      </c>
      <c r="C64" s="93"/>
      <c r="D64" s="94"/>
      <c r="E64" s="95"/>
      <c r="F64" s="36"/>
      <c r="G64" s="61"/>
      <c r="H64" s="176"/>
      <c r="I64" s="72"/>
      <c r="J64" s="46"/>
      <c r="K64" s="84"/>
      <c r="L64" s="88"/>
      <c r="M64" s="89"/>
      <c r="N64" s="89"/>
      <c r="O64" s="89"/>
      <c r="P64" s="81"/>
      <c r="Q64" s="69"/>
      <c r="R64" s="84"/>
    </row>
    <row r="65" spans="2:18" ht="15.65" customHeight="1">
      <c r="B65" s="93" t="s">
        <v>136</v>
      </c>
      <c r="C65" s="93"/>
      <c r="D65" s="94"/>
      <c r="E65" s="95"/>
      <c r="F65" s="36"/>
      <c r="G65" s="61"/>
      <c r="H65" s="176"/>
      <c r="I65" s="46"/>
      <c r="J65" s="46"/>
      <c r="K65" s="84"/>
      <c r="L65" s="90"/>
      <c r="M65" s="87"/>
      <c r="N65" s="87"/>
      <c r="O65" s="89"/>
      <c r="P65" s="81"/>
      <c r="Q65" s="59"/>
      <c r="R65" s="84"/>
    </row>
    <row r="66" spans="2:18" ht="15.65" customHeight="1">
      <c r="B66" s="93" t="s">
        <v>136</v>
      </c>
      <c r="C66" s="93"/>
      <c r="D66" s="94"/>
      <c r="E66" s="95"/>
      <c r="F66" s="36"/>
      <c r="G66" s="61"/>
      <c r="H66" s="176"/>
      <c r="I66" s="46"/>
      <c r="J66" s="46"/>
      <c r="K66" s="84"/>
      <c r="L66" s="90"/>
      <c r="M66" s="87"/>
      <c r="N66" s="87"/>
      <c r="O66" s="89"/>
      <c r="P66" s="81"/>
      <c r="Q66" s="59"/>
      <c r="R66" s="84"/>
    </row>
    <row r="67" spans="2:18" ht="15" customHeight="1">
      <c r="B67" s="93" t="s">
        <v>136</v>
      </c>
      <c r="C67" s="93"/>
      <c r="D67" s="94"/>
      <c r="E67" s="95"/>
      <c r="F67" s="36"/>
      <c r="G67" s="61"/>
      <c r="H67" s="176"/>
      <c r="I67" s="46"/>
      <c r="J67" s="46"/>
      <c r="K67" s="84"/>
      <c r="L67" s="90"/>
      <c r="M67" s="87"/>
      <c r="N67" s="89"/>
      <c r="O67" s="89"/>
      <c r="P67" s="81"/>
      <c r="Q67" s="59"/>
      <c r="R67" s="84"/>
    </row>
    <row r="68" spans="2:18" ht="15.75" customHeight="1">
      <c r="B68" s="93" t="s">
        <v>136</v>
      </c>
      <c r="C68" s="207"/>
      <c r="D68" s="96"/>
      <c r="E68" s="85"/>
      <c r="F68" s="37"/>
      <c r="G68" s="83"/>
      <c r="H68" s="176"/>
      <c r="I68" s="46"/>
      <c r="J68" s="46"/>
      <c r="K68" s="84"/>
      <c r="L68" s="90"/>
      <c r="M68" s="87"/>
      <c r="N68" s="87"/>
      <c r="O68" s="89"/>
      <c r="P68" s="81"/>
      <c r="Q68" s="59"/>
      <c r="R68" s="84"/>
    </row>
    <row r="69" spans="2:18" ht="15.65" customHeight="1">
      <c r="B69" s="93" t="s">
        <v>136</v>
      </c>
      <c r="C69" s="82"/>
      <c r="D69" s="97"/>
      <c r="E69" s="85"/>
      <c r="F69" s="37"/>
      <c r="G69" s="83"/>
      <c r="H69" s="176"/>
      <c r="I69" s="46"/>
      <c r="J69" s="46"/>
      <c r="K69" s="84"/>
      <c r="L69" s="86"/>
      <c r="M69" s="86"/>
      <c r="N69" s="86"/>
      <c r="O69" s="86"/>
      <c r="P69" s="84"/>
      <c r="Q69" s="84"/>
      <c r="R69" s="84"/>
    </row>
    <row r="70" spans="2:18" ht="15.5">
      <c r="B70" s="77"/>
      <c r="C70" s="90"/>
      <c r="D70" s="79"/>
      <c r="E70" s="71"/>
      <c r="F70" s="41"/>
      <c r="G70" s="70"/>
      <c r="H70" s="45"/>
      <c r="I70" s="46"/>
      <c r="J70" s="46"/>
      <c r="K70" s="84"/>
      <c r="L70" s="90"/>
      <c r="M70" s="87"/>
      <c r="N70" s="87"/>
      <c r="O70" s="89"/>
      <c r="P70" s="84"/>
      <c r="Q70" s="84"/>
      <c r="R70" s="84"/>
    </row>
    <row r="71" spans="2:18" ht="15.65" customHeight="1">
      <c r="B71" s="84"/>
      <c r="C71" s="216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</row>
    <row r="72" spans="2:18" ht="15.5">
      <c r="B72" s="80" t="s">
        <v>301</v>
      </c>
      <c r="C72" s="211"/>
      <c r="D72" s="32"/>
      <c r="E72" s="80"/>
      <c r="F72" s="32"/>
      <c r="G72" s="32"/>
      <c r="H72" s="32"/>
      <c r="I72" s="46"/>
      <c r="J72" s="46"/>
      <c r="K72" s="84"/>
      <c r="L72" s="86"/>
      <c r="M72" s="86"/>
      <c r="N72" s="86"/>
      <c r="O72" s="86"/>
      <c r="P72" s="86"/>
      <c r="Q72" s="86"/>
      <c r="R72" s="84"/>
    </row>
    <row r="73" spans="2:18" ht="15.65" customHeight="1">
      <c r="B73" s="34" t="s">
        <v>76</v>
      </c>
      <c r="C73" s="60" t="s">
        <v>77</v>
      </c>
      <c r="D73" s="34" t="s">
        <v>78</v>
      </c>
      <c r="E73" s="43" t="s">
        <v>79</v>
      </c>
      <c r="F73" s="34" t="s">
        <v>80</v>
      </c>
      <c r="G73" s="60" t="s">
        <v>81</v>
      </c>
      <c r="H73" s="35" t="s">
        <v>100</v>
      </c>
      <c r="I73" s="46"/>
      <c r="J73" s="46"/>
      <c r="K73" s="84"/>
      <c r="L73" s="86"/>
      <c r="M73" s="86"/>
      <c r="N73" s="86"/>
      <c r="O73" s="86"/>
      <c r="P73" s="86"/>
      <c r="Q73" s="86"/>
      <c r="R73" s="84"/>
    </row>
    <row r="74" spans="2:18" ht="15.65" customHeight="1">
      <c r="B74" s="93" t="s">
        <v>136</v>
      </c>
      <c r="C74" s="93"/>
      <c r="D74" s="94"/>
      <c r="E74" s="95"/>
      <c r="F74" s="36"/>
      <c r="G74" s="61"/>
      <c r="H74" s="176"/>
      <c r="I74" s="72"/>
      <c r="J74" s="46"/>
      <c r="K74" s="84"/>
      <c r="L74" s="88"/>
      <c r="M74" s="89"/>
      <c r="N74" s="89"/>
      <c r="O74" s="89"/>
      <c r="P74" s="81"/>
      <c r="Q74" s="69"/>
      <c r="R74" s="84"/>
    </row>
    <row r="75" spans="2:18" ht="15.65" customHeight="1">
      <c r="B75" s="93" t="s">
        <v>136</v>
      </c>
      <c r="C75" s="93"/>
      <c r="D75" s="94"/>
      <c r="E75" s="95"/>
      <c r="F75" s="36"/>
      <c r="G75" s="61"/>
      <c r="H75" s="176"/>
      <c r="I75" s="46"/>
      <c r="J75" s="46"/>
      <c r="K75" s="84"/>
      <c r="L75" s="90"/>
      <c r="M75" s="87"/>
      <c r="N75" s="87"/>
      <c r="O75" s="89"/>
      <c r="P75" s="81"/>
      <c r="Q75" s="59"/>
      <c r="R75" s="84"/>
    </row>
    <row r="76" spans="2:18" ht="15.65" customHeight="1">
      <c r="B76" s="93" t="s">
        <v>136</v>
      </c>
      <c r="C76" s="93"/>
      <c r="D76" s="94"/>
      <c r="E76" s="95"/>
      <c r="F76" s="36"/>
      <c r="G76" s="61"/>
      <c r="H76" s="176"/>
      <c r="I76" s="46"/>
      <c r="J76" s="46"/>
      <c r="K76" s="84"/>
      <c r="L76" s="90"/>
      <c r="M76" s="87"/>
      <c r="N76" s="87"/>
      <c r="O76" s="89"/>
      <c r="P76" s="81"/>
      <c r="Q76" s="59"/>
      <c r="R76" s="84"/>
    </row>
    <row r="77" spans="2:18" ht="15" customHeight="1">
      <c r="B77" s="93" t="s">
        <v>136</v>
      </c>
      <c r="C77" s="93"/>
      <c r="D77" s="94"/>
      <c r="E77" s="95"/>
      <c r="F77" s="36"/>
      <c r="G77" s="61"/>
      <c r="H77" s="176"/>
      <c r="I77" s="46"/>
      <c r="J77" s="46"/>
      <c r="K77" s="84"/>
      <c r="L77" s="90"/>
      <c r="M77" s="87"/>
      <c r="N77" s="89"/>
      <c r="O77" s="89"/>
      <c r="P77" s="81"/>
      <c r="Q77" s="59"/>
      <c r="R77" s="84"/>
    </row>
    <row r="78" spans="2:18" ht="15.75" customHeight="1">
      <c r="B78" s="93" t="s">
        <v>136</v>
      </c>
      <c r="C78" s="207"/>
      <c r="D78" s="96"/>
      <c r="E78" s="85"/>
      <c r="F78" s="37"/>
      <c r="G78" s="83"/>
      <c r="H78" s="176"/>
      <c r="I78" s="46"/>
      <c r="J78" s="46"/>
      <c r="K78" s="84"/>
      <c r="L78" s="90"/>
      <c r="M78" s="87"/>
      <c r="N78" s="87"/>
      <c r="O78" s="89"/>
      <c r="P78" s="81"/>
      <c r="Q78" s="59"/>
      <c r="R78" s="84"/>
    </row>
    <row r="79" spans="2:18" ht="15.65" customHeight="1">
      <c r="B79" s="93" t="s">
        <v>136</v>
      </c>
      <c r="C79" s="82"/>
      <c r="D79" s="97"/>
      <c r="E79" s="85"/>
      <c r="F79" s="37"/>
      <c r="G79" s="83"/>
      <c r="H79" s="176"/>
      <c r="I79" s="46"/>
      <c r="J79" s="46"/>
      <c r="K79" s="84"/>
      <c r="L79" s="86"/>
      <c r="M79" s="86"/>
      <c r="N79" s="86"/>
      <c r="O79" s="86"/>
      <c r="P79" s="84"/>
      <c r="Q79" s="84"/>
      <c r="R79" s="84"/>
    </row>
    <row r="80" spans="2:18">
      <c r="B80" s="84"/>
      <c r="C80" s="216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</row>
    <row r="81" spans="2:18" ht="15.65" customHeight="1">
      <c r="B81" s="80" t="s">
        <v>302</v>
      </c>
      <c r="C81" s="211"/>
      <c r="D81" s="32"/>
      <c r="E81" s="80"/>
      <c r="F81" s="32"/>
      <c r="G81" s="32"/>
      <c r="H81" s="32"/>
      <c r="I81" s="46"/>
      <c r="J81" s="46"/>
      <c r="K81" s="84"/>
      <c r="L81" s="86"/>
      <c r="M81" s="86"/>
      <c r="N81" s="86"/>
      <c r="O81" s="86"/>
      <c r="P81" s="86"/>
      <c r="Q81" s="86"/>
      <c r="R81" s="84"/>
    </row>
    <row r="82" spans="2:18" ht="15.5">
      <c r="B82" s="34" t="s">
        <v>76</v>
      </c>
      <c r="C82" s="60" t="s">
        <v>77</v>
      </c>
      <c r="D82" s="34" t="s">
        <v>78</v>
      </c>
      <c r="E82" s="43" t="s">
        <v>79</v>
      </c>
      <c r="F82" s="34" t="s">
        <v>80</v>
      </c>
      <c r="G82" s="60" t="s">
        <v>81</v>
      </c>
      <c r="H82" s="35" t="s">
        <v>100</v>
      </c>
      <c r="I82" s="46"/>
      <c r="J82" s="46"/>
      <c r="K82" s="84"/>
      <c r="L82" s="86"/>
      <c r="M82" s="86"/>
      <c r="N82" s="86"/>
      <c r="O82" s="86"/>
      <c r="P82" s="86"/>
      <c r="Q82" s="86"/>
      <c r="R82" s="84"/>
    </row>
    <row r="83" spans="2:18" ht="15.65" customHeight="1">
      <c r="B83" s="93" t="s">
        <v>136</v>
      </c>
      <c r="C83" s="93"/>
      <c r="D83" s="94"/>
      <c r="E83" s="95"/>
      <c r="F83" s="36"/>
      <c r="G83" s="61"/>
      <c r="H83" s="176"/>
      <c r="I83" s="72"/>
      <c r="J83" s="46"/>
      <c r="K83" s="84"/>
      <c r="L83" s="88"/>
      <c r="M83" s="89"/>
      <c r="N83" s="89"/>
      <c r="O83" s="89"/>
      <c r="P83" s="81"/>
      <c r="Q83" s="69"/>
      <c r="R83" s="84"/>
    </row>
    <row r="84" spans="2:18" ht="15.65" customHeight="1">
      <c r="B84" s="93" t="s">
        <v>136</v>
      </c>
      <c r="C84" s="93"/>
      <c r="D84" s="94"/>
      <c r="E84" s="95"/>
      <c r="F84" s="36"/>
      <c r="G84" s="61"/>
      <c r="H84" s="176"/>
      <c r="I84" s="46"/>
      <c r="J84" s="46"/>
      <c r="K84" s="84"/>
      <c r="L84" s="90"/>
      <c r="M84" s="87"/>
      <c r="N84" s="87"/>
      <c r="O84" s="89"/>
      <c r="P84" s="81"/>
      <c r="Q84" s="59"/>
      <c r="R84" s="84"/>
    </row>
    <row r="85" spans="2:18" ht="15.65" customHeight="1">
      <c r="B85" s="93" t="s">
        <v>136</v>
      </c>
      <c r="C85" s="93"/>
      <c r="D85" s="94"/>
      <c r="E85" s="95"/>
      <c r="F85" s="36"/>
      <c r="G85" s="61"/>
      <c r="H85" s="176"/>
      <c r="I85" s="46"/>
      <c r="J85" s="46"/>
      <c r="K85" s="84"/>
      <c r="L85" s="90"/>
      <c r="M85" s="87"/>
      <c r="N85" s="87"/>
      <c r="O85" s="89"/>
      <c r="P85" s="81"/>
      <c r="Q85" s="59"/>
      <c r="R85" s="84"/>
    </row>
    <row r="86" spans="2:18" ht="15.65" customHeight="1">
      <c r="B86" s="93" t="s">
        <v>136</v>
      </c>
      <c r="C86" s="93"/>
      <c r="D86" s="94"/>
      <c r="E86" s="95"/>
      <c r="F86" s="36"/>
      <c r="G86" s="61"/>
      <c r="H86" s="176"/>
      <c r="I86" s="46"/>
      <c r="J86" s="46"/>
      <c r="K86" s="84"/>
      <c r="L86" s="90"/>
      <c r="M86" s="87"/>
      <c r="N86" s="89"/>
      <c r="O86" s="89"/>
      <c r="P86" s="81"/>
      <c r="Q86" s="59"/>
      <c r="R86" s="84"/>
    </row>
    <row r="87" spans="2:18" ht="15" customHeight="1">
      <c r="B87" s="93" t="s">
        <v>136</v>
      </c>
      <c r="C87" s="207"/>
      <c r="D87" s="96"/>
      <c r="E87" s="85"/>
      <c r="F87" s="37"/>
      <c r="G87" s="83"/>
      <c r="H87" s="176"/>
      <c r="I87" s="46"/>
      <c r="J87" s="46"/>
      <c r="K87" s="84"/>
      <c r="L87" s="90"/>
      <c r="M87" s="87"/>
      <c r="N87" s="87"/>
      <c r="O87" s="89"/>
      <c r="P87" s="81"/>
      <c r="Q87" s="59"/>
      <c r="R87" s="84"/>
    </row>
    <row r="88" spans="2:18" ht="15.75" customHeight="1">
      <c r="B88" s="93" t="s">
        <v>136</v>
      </c>
      <c r="C88" s="82"/>
      <c r="D88" s="97"/>
      <c r="E88" s="85"/>
      <c r="F88" s="37"/>
      <c r="G88" s="83"/>
      <c r="H88" s="176"/>
      <c r="I88" s="46"/>
      <c r="J88" s="46"/>
      <c r="K88" s="84"/>
      <c r="L88" s="86"/>
      <c r="M88" s="86"/>
      <c r="N88" s="86"/>
      <c r="O88" s="86"/>
      <c r="P88" s="84"/>
      <c r="Q88" s="84"/>
      <c r="R88" s="84"/>
    </row>
    <row r="89" spans="2:18" ht="14.75" customHeight="1">
      <c r="B89" s="77"/>
      <c r="C89" s="90"/>
      <c r="D89" s="79"/>
      <c r="E89" s="71"/>
      <c r="F89" s="41"/>
      <c r="G89" s="70"/>
      <c r="H89" s="45"/>
      <c r="I89" s="46"/>
      <c r="J89" s="46"/>
      <c r="K89" s="84"/>
      <c r="L89" s="90"/>
      <c r="M89" s="87"/>
      <c r="N89" s="87"/>
      <c r="O89" s="89"/>
      <c r="P89" s="84"/>
      <c r="Q89" s="84"/>
      <c r="R89" s="84"/>
    </row>
    <row r="90" spans="2:18">
      <c r="B90" s="84"/>
      <c r="C90" s="216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</row>
    <row r="91" spans="2:18" ht="15.65" customHeight="1">
      <c r="B91" s="80" t="s">
        <v>303</v>
      </c>
      <c r="C91" s="211"/>
      <c r="D91" s="32"/>
      <c r="E91" s="80"/>
      <c r="F91" s="32"/>
      <c r="G91" s="32"/>
      <c r="H91" s="32"/>
      <c r="I91" s="46"/>
      <c r="J91" s="46"/>
      <c r="K91" s="84"/>
      <c r="L91" s="86"/>
      <c r="M91" s="86"/>
      <c r="N91" s="86"/>
      <c r="O91" s="86"/>
      <c r="P91" s="86"/>
      <c r="Q91" s="86"/>
      <c r="R91" s="84"/>
    </row>
    <row r="92" spans="2:18" ht="15.5">
      <c r="B92" s="34" t="s">
        <v>76</v>
      </c>
      <c r="C92" s="60" t="s">
        <v>77</v>
      </c>
      <c r="D92" s="34" t="s">
        <v>78</v>
      </c>
      <c r="E92" s="43" t="s">
        <v>79</v>
      </c>
      <c r="F92" s="34" t="s">
        <v>80</v>
      </c>
      <c r="G92" s="60" t="s">
        <v>81</v>
      </c>
      <c r="H92" s="35" t="s">
        <v>100</v>
      </c>
      <c r="I92" s="46"/>
      <c r="J92" s="46"/>
      <c r="K92" s="84"/>
      <c r="L92" s="86"/>
      <c r="M92" s="86"/>
      <c r="N92" s="86"/>
      <c r="O92" s="86"/>
      <c r="P92" s="86"/>
      <c r="Q92" s="86"/>
      <c r="R92" s="84"/>
    </row>
    <row r="93" spans="2:18" ht="15.65" customHeight="1">
      <c r="B93" s="93" t="s">
        <v>136</v>
      </c>
      <c r="C93" s="93"/>
      <c r="D93" s="94"/>
      <c r="E93" s="95"/>
      <c r="F93" s="36"/>
      <c r="G93" s="61"/>
      <c r="H93" s="176"/>
      <c r="I93" s="72"/>
      <c r="J93" s="46"/>
      <c r="K93" s="84"/>
      <c r="L93" s="88"/>
      <c r="M93" s="89"/>
      <c r="N93" s="89"/>
      <c r="O93" s="89"/>
      <c r="P93" s="81"/>
      <c r="Q93" s="69"/>
      <c r="R93" s="84"/>
    </row>
    <row r="94" spans="2:18" ht="15.65" customHeight="1">
      <c r="B94" s="93" t="s">
        <v>136</v>
      </c>
      <c r="C94" s="93"/>
      <c r="D94" s="94"/>
      <c r="E94" s="95"/>
      <c r="F94" s="36"/>
      <c r="G94" s="61"/>
      <c r="H94" s="176"/>
      <c r="I94" s="46"/>
      <c r="J94" s="46"/>
      <c r="K94" s="84"/>
      <c r="L94" s="90"/>
      <c r="M94" s="87"/>
      <c r="N94" s="87"/>
      <c r="O94" s="89"/>
      <c r="P94" s="81"/>
      <c r="Q94" s="59"/>
      <c r="R94" s="84"/>
    </row>
    <row r="95" spans="2:18" ht="15.65" customHeight="1">
      <c r="B95" s="93" t="s">
        <v>136</v>
      </c>
      <c r="C95" s="93"/>
      <c r="D95" s="94"/>
      <c r="E95" s="95"/>
      <c r="F95" s="36"/>
      <c r="G95" s="61"/>
      <c r="H95" s="176"/>
      <c r="I95" s="46"/>
      <c r="J95" s="46"/>
      <c r="K95" s="84"/>
      <c r="L95" s="90"/>
      <c r="M95" s="87"/>
      <c r="N95" s="87"/>
      <c r="O95" s="89"/>
      <c r="P95" s="81"/>
      <c r="Q95" s="59"/>
      <c r="R95" s="84"/>
    </row>
    <row r="96" spans="2:18" ht="15.65" customHeight="1">
      <c r="B96" s="93" t="s">
        <v>136</v>
      </c>
      <c r="C96" s="93"/>
      <c r="D96" s="94"/>
      <c r="E96" s="95"/>
      <c r="F96" s="36"/>
      <c r="G96" s="61"/>
      <c r="H96" s="176"/>
      <c r="I96" s="46"/>
      <c r="J96" s="46"/>
      <c r="K96" s="84"/>
      <c r="L96" s="90"/>
      <c r="M96" s="87"/>
      <c r="N96" s="89"/>
      <c r="O96" s="89"/>
      <c r="P96" s="81"/>
      <c r="Q96" s="59"/>
      <c r="R96" s="84"/>
    </row>
    <row r="97" spans="2:18" ht="15" customHeight="1">
      <c r="B97" s="93" t="s">
        <v>136</v>
      </c>
      <c r="C97" s="207"/>
      <c r="D97" s="96"/>
      <c r="E97" s="85"/>
      <c r="F97" s="37"/>
      <c r="G97" s="83"/>
      <c r="H97" s="176"/>
      <c r="I97" s="46"/>
      <c r="J97" s="46"/>
      <c r="K97" s="84"/>
      <c r="L97" s="90"/>
      <c r="M97" s="87"/>
      <c r="N97" s="87"/>
      <c r="O97" s="89"/>
      <c r="P97" s="81"/>
      <c r="Q97" s="59"/>
      <c r="R97" s="84"/>
    </row>
    <row r="98" spans="2:18" ht="15.75" customHeight="1">
      <c r="B98" s="93" t="s">
        <v>136</v>
      </c>
      <c r="C98" s="82"/>
      <c r="D98" s="97"/>
      <c r="E98" s="85"/>
      <c r="F98" s="37"/>
      <c r="G98" s="83"/>
      <c r="H98" s="176"/>
      <c r="I98" s="46"/>
      <c r="J98" s="46"/>
      <c r="K98" s="84"/>
      <c r="L98" s="86"/>
      <c r="M98" s="86"/>
      <c r="N98" s="86"/>
      <c r="O98" s="86"/>
      <c r="P98" s="84"/>
      <c r="Q98" s="84"/>
      <c r="R98" s="84"/>
    </row>
  </sheetData>
  <pageMargins left="0.7" right="0.7" top="0.75" bottom="0.75" header="0.3" footer="0.3"/>
  <pageSetup paperSize="9" scale="93" orientation="landscape"/>
  <headerFooter>
    <oddFooter>&amp;C_x000D_&amp;1#&amp;"Calibri"&amp;10&amp;K000000 Restricted : General Al-Futtaim Group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80"/>
  <sheetViews>
    <sheetView topLeftCell="A20" zoomScale="70" zoomScaleNormal="70" workbookViewId="0">
      <selection activeCell="B8" sqref="B8:H8"/>
    </sheetView>
  </sheetViews>
  <sheetFormatPr defaultColWidth="8.54296875" defaultRowHeight="14.5"/>
  <cols>
    <col min="1" max="1" width="8.54296875" style="64"/>
    <col min="2" max="2" width="16.36328125" style="64" customWidth="1"/>
    <col min="3" max="3" width="14.6328125" style="64" customWidth="1"/>
    <col min="4" max="4" width="16.6328125" style="64" customWidth="1"/>
    <col min="5" max="5" width="51" style="64" customWidth="1"/>
    <col min="6" max="6" width="14.54296875" style="64" customWidth="1"/>
    <col min="7" max="7" width="31.1796875" style="64" bestFit="1" customWidth="1"/>
    <col min="8" max="8" width="27.08984375" style="64" bestFit="1" customWidth="1"/>
    <col min="9" max="9" width="15.6328125" style="64" bestFit="1" customWidth="1"/>
    <col min="10" max="10" width="23.08984375" style="64" bestFit="1" customWidth="1"/>
    <col min="11" max="11" width="9" style="64" customWidth="1"/>
    <col min="12" max="12" width="13.36328125" style="64" customWidth="1"/>
    <col min="13" max="13" width="13" style="64" customWidth="1"/>
    <col min="14" max="14" width="13.6328125" style="64" customWidth="1"/>
    <col min="15" max="15" width="11.54296875" style="64" customWidth="1"/>
    <col min="16" max="16" width="20.453125" style="64" customWidth="1"/>
    <col min="17" max="17" width="13.6328125" style="64" customWidth="1"/>
    <col min="18" max="16384" width="8.54296875" style="64"/>
  </cols>
  <sheetData>
    <row r="1" spans="1:18" ht="15.65" customHeight="1">
      <c r="B1" s="80" t="s">
        <v>304</v>
      </c>
      <c r="C1" s="32"/>
      <c r="D1" s="32"/>
      <c r="E1" s="80"/>
      <c r="F1" s="32"/>
      <c r="G1" s="32"/>
      <c r="H1" s="32"/>
      <c r="I1" s="46"/>
      <c r="J1" s="46"/>
      <c r="K1" s="84"/>
      <c r="L1" s="86"/>
      <c r="M1" s="86"/>
      <c r="N1" s="86"/>
      <c r="O1" s="86"/>
      <c r="P1" s="86"/>
      <c r="Q1" s="86"/>
      <c r="R1" s="84"/>
    </row>
    <row r="2" spans="1:18" ht="15.5">
      <c r="B2" s="34" t="s">
        <v>76</v>
      </c>
      <c r="C2" s="34" t="s">
        <v>77</v>
      </c>
      <c r="D2" s="34" t="s">
        <v>78</v>
      </c>
      <c r="E2" s="43" t="s">
        <v>79</v>
      </c>
      <c r="F2" s="34" t="s">
        <v>80</v>
      </c>
      <c r="G2" s="60" t="s">
        <v>81</v>
      </c>
      <c r="H2" s="35" t="s">
        <v>100</v>
      </c>
      <c r="I2" s="46"/>
      <c r="J2" s="46"/>
      <c r="K2" s="84"/>
      <c r="L2" s="86"/>
      <c r="M2" s="86"/>
      <c r="N2" s="86"/>
      <c r="O2" s="86"/>
      <c r="P2" s="86"/>
      <c r="Q2" s="86"/>
      <c r="R2" s="84"/>
    </row>
    <row r="3" spans="1:18" ht="15.65" customHeight="1">
      <c r="A3" t="s">
        <v>348</v>
      </c>
      <c r="B3" s="93" t="s">
        <v>89</v>
      </c>
      <c r="C3" s="94" t="s">
        <v>121</v>
      </c>
      <c r="D3" s="93">
        <v>128282</v>
      </c>
      <c r="E3" s="95" t="s">
        <v>267</v>
      </c>
      <c r="F3" s="36" t="s">
        <v>268</v>
      </c>
      <c r="G3" s="61"/>
      <c r="H3" s="176"/>
      <c r="I3" s="262" t="s">
        <v>88</v>
      </c>
      <c r="J3" s="46"/>
      <c r="K3" s="84"/>
      <c r="L3" s="88"/>
      <c r="M3" s="89"/>
      <c r="N3" s="89"/>
      <c r="O3" s="89"/>
      <c r="P3" s="81"/>
      <c r="Q3" s="69"/>
      <c r="R3" s="84"/>
    </row>
    <row r="4" spans="1:18" ht="15.65" customHeight="1">
      <c r="A4" t="s">
        <v>348</v>
      </c>
      <c r="B4" s="93" t="s">
        <v>89</v>
      </c>
      <c r="C4" s="94" t="s">
        <v>102</v>
      </c>
      <c r="D4" s="93">
        <v>178371</v>
      </c>
      <c r="E4" s="95" t="s">
        <v>277</v>
      </c>
      <c r="F4" s="36" t="s">
        <v>268</v>
      </c>
      <c r="G4" s="61"/>
      <c r="H4" s="176"/>
      <c r="I4" s="262" t="s">
        <v>88</v>
      </c>
      <c r="J4" s="46"/>
      <c r="K4" s="84"/>
      <c r="L4" s="90"/>
      <c r="M4" s="87"/>
      <c r="N4" s="87"/>
      <c r="O4" s="89"/>
      <c r="P4" s="81"/>
      <c r="Q4" s="59"/>
      <c r="R4" s="84"/>
    </row>
    <row r="5" spans="1:18" ht="15.65" customHeight="1">
      <c r="A5" t="s">
        <v>348</v>
      </c>
      <c r="B5" s="93" t="s">
        <v>89</v>
      </c>
      <c r="C5" s="94" t="s">
        <v>102</v>
      </c>
      <c r="D5" s="93">
        <v>173994</v>
      </c>
      <c r="E5" s="95" t="s">
        <v>276</v>
      </c>
      <c r="F5" s="36" t="s">
        <v>268</v>
      </c>
      <c r="G5" s="61"/>
      <c r="H5" s="176"/>
      <c r="I5" s="262" t="s">
        <v>88</v>
      </c>
      <c r="J5" s="46"/>
      <c r="K5" s="84"/>
      <c r="L5" s="90"/>
      <c r="M5" s="87"/>
      <c r="N5" s="87"/>
      <c r="O5" s="89"/>
      <c r="P5" s="81"/>
      <c r="Q5" s="59"/>
      <c r="R5" s="84"/>
    </row>
    <row r="6" spans="1:18" ht="15.65" customHeight="1">
      <c r="A6" t="s">
        <v>348</v>
      </c>
      <c r="B6" s="93" t="s">
        <v>89</v>
      </c>
      <c r="C6" s="94" t="s">
        <v>116</v>
      </c>
      <c r="D6" s="93">
        <v>109550</v>
      </c>
      <c r="E6" s="95" t="s">
        <v>151</v>
      </c>
      <c r="F6" s="36" t="s">
        <v>272</v>
      </c>
      <c r="G6" s="61"/>
      <c r="H6" s="176"/>
      <c r="I6" s="262" t="s">
        <v>88</v>
      </c>
      <c r="J6" s="46"/>
      <c r="K6" s="84"/>
      <c r="L6" s="90"/>
      <c r="M6" s="87"/>
      <c r="N6" s="89"/>
      <c r="O6" s="89"/>
      <c r="P6" s="81"/>
      <c r="Q6" s="59"/>
      <c r="R6" s="84"/>
    </row>
    <row r="7" spans="1:18" ht="15" customHeight="1">
      <c r="A7" t="s">
        <v>348</v>
      </c>
      <c r="B7" s="93" t="s">
        <v>89</v>
      </c>
      <c r="C7" s="96" t="s">
        <v>116</v>
      </c>
      <c r="D7" s="207">
        <v>177158</v>
      </c>
      <c r="E7" s="85" t="s">
        <v>153</v>
      </c>
      <c r="F7" s="37" t="s">
        <v>272</v>
      </c>
      <c r="G7" s="83"/>
      <c r="H7" s="176"/>
      <c r="I7" s="262" t="s">
        <v>88</v>
      </c>
      <c r="J7" s="46"/>
      <c r="K7" s="84"/>
      <c r="L7" s="90"/>
      <c r="M7" s="87"/>
      <c r="N7" s="87"/>
      <c r="O7" s="89"/>
      <c r="P7" s="81"/>
      <c r="Q7" s="59"/>
      <c r="R7" s="84"/>
    </row>
    <row r="8" spans="1:18" ht="15.75" customHeight="1">
      <c r="A8" t="s">
        <v>348</v>
      </c>
      <c r="B8" s="228" t="s">
        <v>89</v>
      </c>
      <c r="C8" s="354" t="s">
        <v>116</v>
      </c>
      <c r="D8" s="355">
        <v>169477</v>
      </c>
      <c r="E8" s="356" t="s">
        <v>149</v>
      </c>
      <c r="F8" s="357" t="s">
        <v>272</v>
      </c>
      <c r="G8" s="273"/>
      <c r="H8" s="227"/>
      <c r="I8" s="262" t="s">
        <v>88</v>
      </c>
      <c r="J8" s="46"/>
      <c r="K8" s="84"/>
      <c r="L8" s="86"/>
      <c r="M8" s="86"/>
      <c r="N8" s="86"/>
      <c r="O8" s="86"/>
      <c r="P8" s="84"/>
      <c r="Q8" s="84"/>
      <c r="R8" s="84"/>
    </row>
    <row r="9" spans="1:18" ht="15.65" customHeight="1">
      <c r="A9" t="s">
        <v>348</v>
      </c>
      <c r="B9" s="93" t="s">
        <v>89</v>
      </c>
      <c r="C9" s="103" t="s">
        <v>116</v>
      </c>
      <c r="D9" s="208">
        <v>137569</v>
      </c>
      <c r="E9" s="92" t="s">
        <v>177</v>
      </c>
      <c r="F9" s="37" t="s">
        <v>272</v>
      </c>
      <c r="G9" s="83"/>
      <c r="H9" s="176"/>
      <c r="I9" s="262" t="s">
        <v>88</v>
      </c>
      <c r="J9" s="46"/>
      <c r="K9" s="84"/>
      <c r="L9" s="86"/>
      <c r="M9" s="86"/>
      <c r="N9" s="86"/>
      <c r="O9" s="86"/>
      <c r="P9" s="84"/>
      <c r="Q9" s="84"/>
      <c r="R9" s="84"/>
    </row>
    <row r="10" spans="1:18" ht="15.65" customHeight="1">
      <c r="A10" t="s">
        <v>348</v>
      </c>
      <c r="B10" s="93" t="s">
        <v>89</v>
      </c>
      <c r="C10" s="103" t="s">
        <v>110</v>
      </c>
      <c r="D10" s="208">
        <v>116086</v>
      </c>
      <c r="E10" s="92" t="s">
        <v>273</v>
      </c>
      <c r="F10" s="37" t="s">
        <v>272</v>
      </c>
      <c r="G10" s="83"/>
      <c r="H10" s="176"/>
      <c r="I10" s="262" t="s">
        <v>88</v>
      </c>
      <c r="J10" s="46"/>
      <c r="K10" s="84"/>
      <c r="L10" s="86"/>
      <c r="M10" s="86"/>
      <c r="N10" s="86"/>
      <c r="O10" s="86"/>
      <c r="P10" s="84"/>
      <c r="Q10" s="84"/>
      <c r="R10" s="84"/>
    </row>
    <row r="11" spans="1:18" ht="15.65" customHeight="1">
      <c r="A11" s="268" t="s">
        <v>341</v>
      </c>
      <c r="B11" s="93" t="s">
        <v>89</v>
      </c>
      <c r="C11" s="103" t="s">
        <v>350</v>
      </c>
      <c r="D11" s="103">
        <v>179390</v>
      </c>
      <c r="E11" s="92" t="s">
        <v>351</v>
      </c>
      <c r="F11" s="36"/>
      <c r="G11" s="61"/>
      <c r="H11" s="176"/>
      <c r="I11" s="262" t="s">
        <v>417</v>
      </c>
      <c r="J11" s="46"/>
      <c r="K11" s="84"/>
      <c r="L11" s="86"/>
      <c r="M11" s="86"/>
      <c r="N11" s="86"/>
      <c r="O11" s="86"/>
      <c r="P11" s="84"/>
      <c r="Q11" s="84"/>
      <c r="R11" s="84"/>
    </row>
    <row r="12" spans="1:18" ht="15.65" customHeight="1">
      <c r="A12" s="268" t="s">
        <v>341</v>
      </c>
      <c r="B12" s="93" t="s">
        <v>89</v>
      </c>
      <c r="C12" s="103" t="s">
        <v>352</v>
      </c>
      <c r="D12" s="103">
        <v>150354</v>
      </c>
      <c r="E12" s="92" t="s">
        <v>353</v>
      </c>
      <c r="F12" s="36"/>
      <c r="G12" s="61"/>
      <c r="H12" s="176"/>
      <c r="I12" s="262" t="s">
        <v>88</v>
      </c>
      <c r="J12" s="46"/>
      <c r="K12" s="84"/>
      <c r="L12" s="86"/>
      <c r="M12" s="86"/>
      <c r="N12" s="86"/>
      <c r="O12" s="86"/>
      <c r="P12" s="84"/>
      <c r="Q12" s="84"/>
      <c r="R12" s="84"/>
    </row>
    <row r="13" spans="1:18" ht="15.65" customHeight="1">
      <c r="A13" s="268" t="s">
        <v>341</v>
      </c>
      <c r="B13" s="93" t="s">
        <v>89</v>
      </c>
      <c r="C13" s="103" t="s">
        <v>354</v>
      </c>
      <c r="D13" s="103">
        <v>125874</v>
      </c>
      <c r="E13" s="92" t="s">
        <v>355</v>
      </c>
      <c r="F13" s="36"/>
      <c r="G13" s="61"/>
      <c r="H13" s="176"/>
      <c r="I13" s="262" t="s">
        <v>88</v>
      </c>
      <c r="J13" s="46"/>
      <c r="K13" s="84"/>
      <c r="L13" s="86"/>
      <c r="M13" s="86"/>
      <c r="N13" s="86"/>
      <c r="O13" s="86"/>
      <c r="P13" s="84"/>
      <c r="Q13" s="84"/>
      <c r="R13" s="84"/>
    </row>
    <row r="14" spans="1:18" ht="15.65" customHeight="1">
      <c r="A14" s="268" t="s">
        <v>341</v>
      </c>
      <c r="B14" s="93" t="s">
        <v>89</v>
      </c>
      <c r="C14" s="103" t="s">
        <v>354</v>
      </c>
      <c r="D14" s="103">
        <v>176216</v>
      </c>
      <c r="E14" s="92" t="s">
        <v>356</v>
      </c>
      <c r="F14" s="36"/>
      <c r="G14" s="61"/>
      <c r="H14" s="176"/>
      <c r="I14" s="262" t="s">
        <v>417</v>
      </c>
      <c r="J14" s="262" t="s">
        <v>420</v>
      </c>
      <c r="K14" s="84"/>
      <c r="L14" s="86"/>
      <c r="M14" s="86"/>
      <c r="N14" s="86"/>
      <c r="O14" s="86"/>
      <c r="P14" s="84"/>
      <c r="Q14" s="84"/>
      <c r="R14" s="84"/>
    </row>
    <row r="15" spans="1:18" ht="15.65" customHeight="1">
      <c r="B15" s="101"/>
      <c r="C15" s="191"/>
      <c r="D15" s="191"/>
      <c r="E15" s="71"/>
      <c r="F15" s="41"/>
      <c r="G15" s="70"/>
      <c r="H15" s="45"/>
      <c r="I15" s="46"/>
      <c r="J15" s="46"/>
      <c r="K15" s="84"/>
      <c r="L15" s="86"/>
      <c r="M15" s="86"/>
      <c r="N15" s="86"/>
      <c r="O15" s="86"/>
      <c r="P15" s="84"/>
      <c r="Q15" s="84"/>
      <c r="R15" s="84"/>
    </row>
    <row r="16" spans="1:18" ht="15.65" customHeight="1">
      <c r="B16" s="80" t="s">
        <v>305</v>
      </c>
      <c r="C16" s="32"/>
      <c r="D16" s="32"/>
      <c r="E16" s="80"/>
      <c r="F16" s="32"/>
      <c r="G16" s="32"/>
      <c r="H16" s="32"/>
      <c r="I16" s="46"/>
      <c r="J16" s="46"/>
      <c r="K16" s="84"/>
      <c r="L16" s="86"/>
      <c r="M16" s="86"/>
      <c r="N16" s="86"/>
      <c r="O16" s="86"/>
      <c r="P16" s="86"/>
      <c r="Q16" s="86"/>
      <c r="R16" s="84"/>
    </row>
    <row r="17" spans="1:18" ht="15.5">
      <c r="B17" s="34" t="s">
        <v>76</v>
      </c>
      <c r="C17" s="34" t="s">
        <v>77</v>
      </c>
      <c r="D17" s="34" t="s">
        <v>78</v>
      </c>
      <c r="E17" s="43" t="s">
        <v>79</v>
      </c>
      <c r="F17" s="34" t="s">
        <v>80</v>
      </c>
      <c r="G17" s="60" t="s">
        <v>81</v>
      </c>
      <c r="H17" s="35" t="s">
        <v>100</v>
      </c>
      <c r="I17" s="46"/>
      <c r="J17" s="46"/>
      <c r="K17" s="84"/>
      <c r="L17" s="86"/>
      <c r="M17" s="86"/>
      <c r="N17" s="86"/>
      <c r="O17" s="86"/>
      <c r="P17" s="86"/>
      <c r="Q17" s="86"/>
      <c r="R17" s="84"/>
    </row>
    <row r="18" spans="1:18" ht="15.65" customHeight="1">
      <c r="A18" t="s">
        <v>348</v>
      </c>
      <c r="B18" s="93" t="s">
        <v>89</v>
      </c>
      <c r="C18" s="94" t="s">
        <v>121</v>
      </c>
      <c r="D18" s="94">
        <v>114752</v>
      </c>
      <c r="E18" s="95" t="s">
        <v>164</v>
      </c>
      <c r="F18" s="36" t="s">
        <v>268</v>
      </c>
      <c r="G18" s="61"/>
      <c r="H18" s="176"/>
      <c r="I18" s="262" t="s">
        <v>88</v>
      </c>
      <c r="J18" s="46"/>
      <c r="K18" s="84"/>
      <c r="L18" s="88"/>
      <c r="M18" s="89"/>
      <c r="N18" s="89"/>
      <c r="O18" s="89"/>
      <c r="P18" s="81"/>
      <c r="Q18" s="69"/>
      <c r="R18" s="84"/>
    </row>
    <row r="19" spans="1:18" ht="15.65" customHeight="1">
      <c r="A19" t="s">
        <v>348</v>
      </c>
      <c r="B19" s="93" t="s">
        <v>89</v>
      </c>
      <c r="C19" s="94" t="s">
        <v>125</v>
      </c>
      <c r="D19" s="94">
        <v>165694</v>
      </c>
      <c r="E19" s="95" t="s">
        <v>275</v>
      </c>
      <c r="F19" s="36" t="s">
        <v>268</v>
      </c>
      <c r="G19" s="61"/>
      <c r="H19" s="176"/>
      <c r="I19" s="262" t="s">
        <v>88</v>
      </c>
      <c r="J19" s="46"/>
      <c r="K19" s="84"/>
      <c r="L19" s="90"/>
      <c r="M19" s="87"/>
      <c r="N19" s="87"/>
      <c r="O19" s="89"/>
      <c r="P19" s="81"/>
      <c r="Q19" s="59"/>
      <c r="R19" s="84"/>
    </row>
    <row r="20" spans="1:18" ht="15.65" customHeight="1">
      <c r="A20" t="s">
        <v>348</v>
      </c>
      <c r="B20" s="93" t="s">
        <v>89</v>
      </c>
      <c r="C20" s="94" t="s">
        <v>102</v>
      </c>
      <c r="D20" s="94">
        <v>181703</v>
      </c>
      <c r="E20" s="95" t="s">
        <v>416</v>
      </c>
      <c r="F20" s="36" t="s">
        <v>268</v>
      </c>
      <c r="G20" s="61"/>
      <c r="H20" s="61"/>
      <c r="I20" s="262" t="s">
        <v>466</v>
      </c>
      <c r="J20" s="46"/>
      <c r="K20" s="84"/>
      <c r="L20" s="90"/>
      <c r="M20" s="87"/>
      <c r="N20" s="87"/>
      <c r="O20" s="89"/>
      <c r="P20" s="81"/>
      <c r="Q20" s="59"/>
      <c r="R20" s="84"/>
    </row>
    <row r="21" spans="1:18" ht="15.65" customHeight="1">
      <c r="A21" t="s">
        <v>348</v>
      </c>
      <c r="B21" s="93" t="s">
        <v>89</v>
      </c>
      <c r="C21" s="94" t="s">
        <v>102</v>
      </c>
      <c r="D21" s="94">
        <v>166357</v>
      </c>
      <c r="E21" s="95" t="s">
        <v>287</v>
      </c>
      <c r="F21" s="36" t="s">
        <v>268</v>
      </c>
      <c r="G21" s="61"/>
      <c r="H21" s="176"/>
      <c r="I21" s="262" t="s">
        <v>88</v>
      </c>
      <c r="J21" s="46"/>
      <c r="K21" s="84"/>
      <c r="L21" s="90"/>
      <c r="M21" s="87"/>
      <c r="N21" s="89"/>
      <c r="O21" s="89"/>
      <c r="P21" s="81"/>
      <c r="Q21" s="59"/>
      <c r="R21" s="84"/>
    </row>
    <row r="22" spans="1:18" ht="15" customHeight="1">
      <c r="A22" t="s">
        <v>348</v>
      </c>
      <c r="B22" s="93" t="s">
        <v>89</v>
      </c>
      <c r="C22" s="96" t="s">
        <v>116</v>
      </c>
      <c r="D22" s="304">
        <v>129165</v>
      </c>
      <c r="E22" s="85" t="s">
        <v>168</v>
      </c>
      <c r="F22" s="37" t="s">
        <v>272</v>
      </c>
      <c r="G22" s="83"/>
      <c r="H22" s="176"/>
      <c r="I22" s="262" t="s">
        <v>88</v>
      </c>
      <c r="J22" s="46"/>
      <c r="K22" s="84"/>
      <c r="L22" s="90"/>
      <c r="M22" s="87"/>
      <c r="N22" s="87"/>
      <c r="O22" s="89"/>
      <c r="P22" s="81"/>
      <c r="Q22" s="59"/>
      <c r="R22" s="84"/>
    </row>
    <row r="23" spans="1:18" ht="15.75" customHeight="1">
      <c r="A23" t="s">
        <v>348</v>
      </c>
      <c r="B23" s="299" t="s">
        <v>89</v>
      </c>
      <c r="C23" s="309" t="s">
        <v>116</v>
      </c>
      <c r="D23" s="310">
        <v>162613</v>
      </c>
      <c r="E23" s="311" t="s">
        <v>150</v>
      </c>
      <c r="F23" s="312" t="s">
        <v>272</v>
      </c>
      <c r="G23" s="313"/>
      <c r="H23" s="287"/>
      <c r="I23" s="257" t="s">
        <v>418</v>
      </c>
      <c r="J23" s="46"/>
      <c r="K23" s="84"/>
      <c r="L23" s="86"/>
      <c r="M23" s="86"/>
      <c r="N23" s="86"/>
      <c r="O23" s="86"/>
      <c r="P23" s="84"/>
      <c r="Q23" s="84"/>
      <c r="R23" s="84"/>
    </row>
    <row r="24" spans="1:18" ht="15.65" customHeight="1">
      <c r="A24" t="s">
        <v>348</v>
      </c>
      <c r="B24" s="93" t="s">
        <v>89</v>
      </c>
      <c r="C24" s="103" t="s">
        <v>116</v>
      </c>
      <c r="D24" s="103">
        <v>64576</v>
      </c>
      <c r="E24" s="92" t="s">
        <v>145</v>
      </c>
      <c r="F24" s="37" t="s">
        <v>272</v>
      </c>
      <c r="G24" s="83"/>
      <c r="H24" s="176"/>
      <c r="I24" s="262" t="s">
        <v>88</v>
      </c>
      <c r="J24" s="46"/>
      <c r="K24" s="84"/>
      <c r="L24" s="86"/>
      <c r="M24" s="86"/>
      <c r="N24" s="86"/>
      <c r="O24" s="86"/>
      <c r="P24" s="84"/>
      <c r="Q24" s="84"/>
      <c r="R24" s="84"/>
    </row>
    <row r="25" spans="1:18" ht="15.65" customHeight="1">
      <c r="A25" s="268" t="s">
        <v>341</v>
      </c>
      <c r="B25" s="93" t="s">
        <v>89</v>
      </c>
      <c r="C25" s="103" t="s">
        <v>354</v>
      </c>
      <c r="D25" s="103">
        <v>168648</v>
      </c>
      <c r="E25" s="103" t="s">
        <v>357</v>
      </c>
      <c r="F25" s="36"/>
      <c r="G25" s="61"/>
      <c r="H25" s="176"/>
      <c r="I25" s="262" t="s">
        <v>88</v>
      </c>
      <c r="J25" s="46"/>
      <c r="K25" s="84"/>
      <c r="L25" s="86"/>
      <c r="M25" s="86"/>
      <c r="N25" s="86"/>
      <c r="O25" s="86"/>
      <c r="P25" s="84"/>
      <c r="Q25" s="84"/>
      <c r="R25" s="84"/>
    </row>
    <row r="26" spans="1:18" ht="15.65" customHeight="1">
      <c r="A26" s="268" t="s">
        <v>341</v>
      </c>
      <c r="B26" s="93" t="s">
        <v>89</v>
      </c>
      <c r="C26" s="103" t="s">
        <v>350</v>
      </c>
      <c r="D26" s="103">
        <v>176214</v>
      </c>
      <c r="E26" s="103" t="s">
        <v>359</v>
      </c>
      <c r="F26" s="36"/>
      <c r="G26" s="61"/>
      <c r="H26" s="176"/>
      <c r="I26" s="305" t="s">
        <v>421</v>
      </c>
      <c r="J26" s="46"/>
      <c r="K26" s="84"/>
      <c r="L26" s="86"/>
      <c r="M26" s="86"/>
      <c r="N26" s="86"/>
      <c r="O26" s="86"/>
      <c r="P26" s="84"/>
      <c r="Q26" s="84"/>
      <c r="R26" s="84"/>
    </row>
    <row r="27" spans="1:18" ht="15.65" customHeight="1">
      <c r="A27" s="268" t="s">
        <v>341</v>
      </c>
      <c r="B27" s="299" t="s">
        <v>89</v>
      </c>
      <c r="C27" s="300" t="s">
        <v>352</v>
      </c>
      <c r="D27" s="300">
        <v>179367</v>
      </c>
      <c r="E27" s="300" t="s">
        <v>367</v>
      </c>
      <c r="F27" s="301"/>
      <c r="G27" s="302"/>
      <c r="H27" s="287"/>
      <c r="I27" s="257" t="s">
        <v>380</v>
      </c>
      <c r="J27" s="46"/>
      <c r="K27" s="84"/>
      <c r="L27" s="86"/>
      <c r="M27" s="86"/>
      <c r="N27" s="86"/>
      <c r="O27" s="86"/>
      <c r="P27" s="84"/>
      <c r="Q27" s="84"/>
      <c r="R27" s="84"/>
    </row>
    <row r="28" spans="1:18" ht="15.65" customHeight="1">
      <c r="A28" s="268" t="s">
        <v>341</v>
      </c>
      <c r="B28" s="93" t="s">
        <v>89</v>
      </c>
      <c r="C28" s="103" t="s">
        <v>354</v>
      </c>
      <c r="D28" s="103">
        <v>176108</v>
      </c>
      <c r="E28" s="103" t="s">
        <v>363</v>
      </c>
      <c r="F28" s="36"/>
      <c r="G28" s="61"/>
      <c r="H28" s="176"/>
      <c r="I28" s="262" t="s">
        <v>419</v>
      </c>
      <c r="J28" s="46"/>
      <c r="K28" s="84"/>
      <c r="L28" s="86"/>
      <c r="M28" s="86"/>
      <c r="N28" s="86"/>
      <c r="O28" s="86"/>
      <c r="P28" s="84"/>
      <c r="Q28" s="84"/>
      <c r="R28" s="84"/>
    </row>
    <row r="29" spans="1:18" ht="15.65" customHeight="1">
      <c r="B29" s="93"/>
      <c r="C29" s="103"/>
      <c r="D29" s="208"/>
      <c r="E29" s="92"/>
      <c r="F29" s="37"/>
      <c r="G29" s="83"/>
      <c r="H29" s="176"/>
      <c r="I29" s="46"/>
      <c r="J29" s="46"/>
      <c r="K29" s="84"/>
      <c r="L29" s="86"/>
      <c r="M29" s="86"/>
      <c r="N29" s="86"/>
      <c r="O29" s="86"/>
      <c r="P29" s="84"/>
      <c r="Q29" s="84"/>
      <c r="R29" s="84"/>
    </row>
    <row r="30" spans="1:18" ht="15.65" customHeight="1">
      <c r="B30" s="101"/>
      <c r="C30" s="191"/>
      <c r="D30" s="191"/>
      <c r="E30" s="71"/>
      <c r="F30" s="41"/>
      <c r="G30" s="70"/>
      <c r="H30" s="45"/>
      <c r="I30" s="46"/>
      <c r="J30" s="46"/>
      <c r="K30" s="84"/>
      <c r="L30" s="86"/>
      <c r="M30" s="86"/>
      <c r="N30" s="86"/>
      <c r="O30" s="86"/>
      <c r="P30" s="84"/>
      <c r="Q30" s="84"/>
      <c r="R30" s="84"/>
    </row>
    <row r="31" spans="1:18" ht="15.65" customHeight="1">
      <c r="B31" s="80" t="s">
        <v>306</v>
      </c>
      <c r="C31" s="32"/>
      <c r="D31" s="32"/>
      <c r="E31" s="80"/>
      <c r="F31" s="32"/>
      <c r="G31" s="32"/>
      <c r="H31" s="32"/>
      <c r="I31" s="46"/>
      <c r="J31" s="46"/>
      <c r="K31" s="84"/>
      <c r="L31" s="86"/>
      <c r="M31" s="86"/>
      <c r="N31" s="86"/>
      <c r="O31" s="86"/>
      <c r="P31" s="86"/>
      <c r="Q31" s="86"/>
      <c r="R31" s="84"/>
    </row>
    <row r="32" spans="1:18" ht="15.5">
      <c r="B32" s="34" t="s">
        <v>76</v>
      </c>
      <c r="C32" s="34" t="s">
        <v>77</v>
      </c>
      <c r="D32" s="34" t="s">
        <v>78</v>
      </c>
      <c r="E32" s="43" t="s">
        <v>79</v>
      </c>
      <c r="F32" s="34" t="s">
        <v>80</v>
      </c>
      <c r="G32" s="60" t="s">
        <v>81</v>
      </c>
      <c r="H32" s="35" t="s">
        <v>100</v>
      </c>
      <c r="I32" s="46"/>
      <c r="J32" s="46"/>
      <c r="K32" s="84"/>
      <c r="L32" s="86"/>
      <c r="M32" s="86"/>
      <c r="N32" s="86"/>
      <c r="O32" s="86"/>
      <c r="P32" s="86"/>
      <c r="Q32" s="86"/>
      <c r="R32" s="84"/>
    </row>
    <row r="33" spans="1:18" ht="15.65" customHeight="1">
      <c r="A33" t="s">
        <v>348</v>
      </c>
      <c r="B33" s="93" t="s">
        <v>89</v>
      </c>
      <c r="C33" s="94" t="s">
        <v>125</v>
      </c>
      <c r="D33" s="93">
        <v>179859</v>
      </c>
      <c r="E33" s="306" t="s">
        <v>126</v>
      </c>
      <c r="F33" s="36" t="s">
        <v>268</v>
      </c>
      <c r="G33" s="61"/>
      <c r="H33" s="176"/>
      <c r="I33" s="262" t="s">
        <v>88</v>
      </c>
      <c r="J33" s="46"/>
      <c r="K33" s="84"/>
      <c r="L33" s="88"/>
      <c r="M33" s="89"/>
      <c r="N33" s="89"/>
      <c r="O33" s="89"/>
      <c r="P33" s="81"/>
      <c r="Q33" s="69"/>
      <c r="R33" s="84"/>
    </row>
    <row r="34" spans="1:18" ht="15.65" customHeight="1">
      <c r="A34" t="s">
        <v>348</v>
      </c>
      <c r="B34" s="93" t="s">
        <v>89</v>
      </c>
      <c r="C34" s="94" t="s">
        <v>102</v>
      </c>
      <c r="D34" s="93">
        <v>154728</v>
      </c>
      <c r="E34" s="306" t="s">
        <v>269</v>
      </c>
      <c r="F34" s="36" t="s">
        <v>268</v>
      </c>
      <c r="G34" s="61"/>
      <c r="H34" s="176"/>
      <c r="I34" s="262" t="s">
        <v>417</v>
      </c>
      <c r="J34" s="46"/>
      <c r="K34" s="84"/>
      <c r="L34" s="90"/>
      <c r="M34" s="87"/>
      <c r="N34" s="87"/>
      <c r="O34" s="89"/>
      <c r="P34" s="81"/>
      <c r="Q34" s="59"/>
      <c r="R34" s="84"/>
    </row>
    <row r="35" spans="1:18" ht="15.65" customHeight="1">
      <c r="A35" t="s">
        <v>348</v>
      </c>
      <c r="B35" s="93" t="s">
        <v>89</v>
      </c>
      <c r="C35" s="94" t="s">
        <v>102</v>
      </c>
      <c r="D35" s="93">
        <v>149930</v>
      </c>
      <c r="E35" s="306" t="s">
        <v>270</v>
      </c>
      <c r="F35" s="36" t="s">
        <v>268</v>
      </c>
      <c r="G35" s="61"/>
      <c r="H35" s="176"/>
      <c r="I35" s="262" t="s">
        <v>88</v>
      </c>
      <c r="J35" s="46"/>
      <c r="K35" s="84"/>
      <c r="L35" s="90"/>
      <c r="M35" s="87"/>
      <c r="N35" s="87"/>
      <c r="O35" s="89"/>
      <c r="P35" s="81"/>
      <c r="Q35" s="59"/>
      <c r="R35" s="84"/>
    </row>
    <row r="36" spans="1:18" ht="15.65" customHeight="1">
      <c r="A36" t="s">
        <v>348</v>
      </c>
      <c r="B36" s="93" t="s">
        <v>89</v>
      </c>
      <c r="C36" s="94" t="s">
        <v>116</v>
      </c>
      <c r="D36" s="93">
        <v>136865</v>
      </c>
      <c r="E36" s="306" t="s">
        <v>176</v>
      </c>
      <c r="F36" s="36" t="s">
        <v>272</v>
      </c>
      <c r="G36" s="61"/>
      <c r="H36" s="176"/>
      <c r="I36" s="262" t="s">
        <v>88</v>
      </c>
      <c r="J36" s="46"/>
      <c r="K36" s="84"/>
      <c r="L36" s="90"/>
      <c r="M36" s="87"/>
      <c r="N36" s="89"/>
      <c r="O36" s="89"/>
      <c r="P36" s="81"/>
      <c r="Q36" s="59"/>
      <c r="R36" s="84"/>
    </row>
    <row r="37" spans="1:18" ht="15" customHeight="1">
      <c r="A37" t="s">
        <v>348</v>
      </c>
      <c r="B37" s="93" t="s">
        <v>89</v>
      </c>
      <c r="C37" s="96" t="s">
        <v>116</v>
      </c>
      <c r="D37" s="207">
        <v>179616</v>
      </c>
      <c r="E37" s="307" t="s">
        <v>146</v>
      </c>
      <c r="F37" s="37" t="s">
        <v>272</v>
      </c>
      <c r="G37" s="83"/>
      <c r="H37" s="176"/>
      <c r="I37" s="262" t="s">
        <v>88</v>
      </c>
      <c r="J37" s="46"/>
      <c r="K37" s="84"/>
      <c r="L37" s="90"/>
      <c r="M37" s="87"/>
      <c r="N37" s="87"/>
      <c r="O37" s="89"/>
      <c r="P37" s="81"/>
      <c r="Q37" s="59"/>
      <c r="R37" s="84"/>
    </row>
    <row r="38" spans="1:18" ht="15.75" customHeight="1">
      <c r="A38" t="s">
        <v>348</v>
      </c>
      <c r="B38" s="93" t="s">
        <v>89</v>
      </c>
      <c r="C38" s="97" t="s">
        <v>116</v>
      </c>
      <c r="D38" s="82">
        <v>175354</v>
      </c>
      <c r="E38" s="307" t="s">
        <v>307</v>
      </c>
      <c r="F38" s="37" t="s">
        <v>272</v>
      </c>
      <c r="G38" s="83"/>
      <c r="H38" s="176"/>
      <c r="I38" s="262" t="s">
        <v>88</v>
      </c>
      <c r="J38" s="46"/>
      <c r="K38" s="84"/>
      <c r="L38" s="86"/>
      <c r="M38" s="86"/>
      <c r="N38" s="86"/>
      <c r="O38" s="86"/>
      <c r="P38" s="84"/>
      <c r="Q38" s="84"/>
      <c r="R38" s="84"/>
    </row>
    <row r="39" spans="1:18" ht="15.65" customHeight="1">
      <c r="A39" t="s">
        <v>348</v>
      </c>
      <c r="B39" s="93" t="s">
        <v>89</v>
      </c>
      <c r="C39" s="103" t="s">
        <v>116</v>
      </c>
      <c r="D39" s="208">
        <v>179194</v>
      </c>
      <c r="E39" s="92" t="s">
        <v>288</v>
      </c>
      <c r="F39" s="37" t="s">
        <v>272</v>
      </c>
      <c r="G39" s="83"/>
      <c r="H39" s="176"/>
      <c r="I39" s="262" t="s">
        <v>88</v>
      </c>
      <c r="J39" s="46"/>
      <c r="K39" s="84"/>
      <c r="L39" s="86"/>
      <c r="M39" s="86"/>
      <c r="N39" s="86"/>
      <c r="O39" s="86"/>
      <c r="P39" s="84"/>
      <c r="Q39" s="84"/>
      <c r="R39" s="84"/>
    </row>
    <row r="40" spans="1:18" ht="15.65" customHeight="1">
      <c r="A40" t="s">
        <v>348</v>
      </c>
      <c r="B40" s="93" t="s">
        <v>89</v>
      </c>
      <c r="C40" s="103" t="s">
        <v>110</v>
      </c>
      <c r="D40" s="208">
        <v>178622</v>
      </c>
      <c r="E40" s="92" t="s">
        <v>289</v>
      </c>
      <c r="F40" s="37" t="s">
        <v>272</v>
      </c>
      <c r="G40" s="83"/>
      <c r="H40" s="176"/>
      <c r="I40" s="262" t="s">
        <v>88</v>
      </c>
      <c r="J40" s="46"/>
      <c r="K40" s="84"/>
      <c r="L40" s="86"/>
      <c r="M40" s="86"/>
      <c r="N40" s="86"/>
      <c r="O40" s="86"/>
      <c r="P40" s="84"/>
      <c r="Q40" s="84"/>
      <c r="R40" s="84"/>
    </row>
    <row r="41" spans="1:18" ht="15.65" customHeight="1">
      <c r="A41" s="268" t="s">
        <v>341</v>
      </c>
      <c r="B41" s="93" t="s">
        <v>89</v>
      </c>
      <c r="C41" s="263" t="s">
        <v>354</v>
      </c>
      <c r="D41" s="303">
        <v>179572</v>
      </c>
      <c r="E41" s="308" t="s">
        <v>364</v>
      </c>
      <c r="F41" s="263"/>
      <c r="G41" s="263"/>
      <c r="H41" s="176"/>
      <c r="I41" s="262" t="s">
        <v>88</v>
      </c>
      <c r="J41" s="46"/>
      <c r="K41" s="84"/>
      <c r="L41" s="86"/>
      <c r="M41" s="86"/>
      <c r="N41" s="86"/>
      <c r="O41" s="86"/>
      <c r="P41" s="84"/>
      <c r="Q41" s="84"/>
      <c r="R41" s="84"/>
    </row>
    <row r="42" spans="1:18" ht="15.65" customHeight="1">
      <c r="A42" s="268" t="s">
        <v>341</v>
      </c>
      <c r="B42" s="93" t="s">
        <v>89</v>
      </c>
      <c r="C42" s="263" t="s">
        <v>354</v>
      </c>
      <c r="D42" s="303">
        <v>180320</v>
      </c>
      <c r="E42" s="308" t="s">
        <v>365</v>
      </c>
      <c r="F42" s="263"/>
      <c r="G42" s="263"/>
      <c r="H42" s="176"/>
      <c r="I42" s="262" t="s">
        <v>88</v>
      </c>
      <c r="J42" s="46"/>
      <c r="K42" s="84"/>
      <c r="L42" s="86"/>
      <c r="M42" s="86"/>
      <c r="N42" s="86"/>
      <c r="O42" s="86"/>
      <c r="P42" s="84"/>
      <c r="Q42" s="84"/>
      <c r="R42" s="84"/>
    </row>
    <row r="43" spans="1:18" ht="15.65" customHeight="1">
      <c r="A43" s="268" t="s">
        <v>341</v>
      </c>
      <c r="B43" s="93" t="s">
        <v>89</v>
      </c>
      <c r="C43" s="263" t="s">
        <v>354</v>
      </c>
      <c r="D43" s="303">
        <v>175105</v>
      </c>
      <c r="E43" s="308" t="s">
        <v>366</v>
      </c>
      <c r="F43" s="263"/>
      <c r="G43" s="263"/>
      <c r="H43" s="176"/>
      <c r="I43" s="262" t="s">
        <v>88</v>
      </c>
      <c r="J43" s="46"/>
      <c r="K43" s="84"/>
      <c r="L43" s="86"/>
      <c r="M43" s="86"/>
      <c r="N43" s="86"/>
      <c r="O43" s="86"/>
      <c r="P43" s="84"/>
      <c r="Q43" s="84"/>
      <c r="R43" s="84"/>
    </row>
    <row r="44" spans="1:18" ht="15.65" customHeight="1">
      <c r="A44" s="268" t="s">
        <v>341</v>
      </c>
      <c r="B44" s="93" t="s">
        <v>89</v>
      </c>
      <c r="C44" s="263" t="s">
        <v>352</v>
      </c>
      <c r="D44" s="303">
        <v>181740</v>
      </c>
      <c r="E44" s="263" t="s">
        <v>362</v>
      </c>
      <c r="F44" s="263"/>
      <c r="G44" s="263"/>
      <c r="H44" s="176"/>
      <c r="I44" s="262" t="s">
        <v>88</v>
      </c>
      <c r="J44" s="46"/>
      <c r="K44" s="84"/>
      <c r="L44" s="86"/>
      <c r="M44" s="86"/>
      <c r="N44" s="86"/>
      <c r="O44" s="86"/>
      <c r="P44" s="84"/>
      <c r="Q44" s="84"/>
      <c r="R44" s="84"/>
    </row>
    <row r="45" spans="1:18" ht="15.65" customHeight="1">
      <c r="B45" s="101"/>
      <c r="C45" s="191"/>
      <c r="D45" s="191"/>
      <c r="E45" s="71"/>
      <c r="F45" s="41"/>
      <c r="G45" s="70"/>
      <c r="H45" s="45"/>
      <c r="I45" s="46"/>
      <c r="J45" s="46"/>
      <c r="K45" s="84"/>
      <c r="L45" s="86"/>
      <c r="M45" s="86"/>
      <c r="N45" s="86"/>
      <c r="O45" s="86"/>
      <c r="P45" s="84"/>
      <c r="Q45" s="84"/>
      <c r="R45" s="84"/>
    </row>
    <row r="49" spans="2:10" ht="15.5">
      <c r="B49" s="80" t="s">
        <v>372</v>
      </c>
      <c r="C49" s="32"/>
      <c r="D49" s="32"/>
      <c r="E49" s="80"/>
      <c r="F49" s="32"/>
      <c r="G49" s="32"/>
      <c r="H49" s="32"/>
    </row>
    <row r="50" spans="2:10" ht="15.5">
      <c r="B50" s="34" t="s">
        <v>76</v>
      </c>
      <c r="C50" s="34" t="s">
        <v>77</v>
      </c>
      <c r="D50" s="34" t="s">
        <v>78</v>
      </c>
      <c r="E50" s="34" t="s">
        <v>79</v>
      </c>
      <c r="F50" s="34" t="s">
        <v>80</v>
      </c>
      <c r="G50" s="60" t="s">
        <v>81</v>
      </c>
      <c r="H50" s="35" t="s">
        <v>100</v>
      </c>
    </row>
    <row r="51" spans="2:10" ht="15.5">
      <c r="B51" s="93" t="s">
        <v>290</v>
      </c>
      <c r="C51" s="94" t="s">
        <v>251</v>
      </c>
      <c r="D51" s="94">
        <v>156227</v>
      </c>
      <c r="E51" s="288" t="s">
        <v>320</v>
      </c>
      <c r="F51" s="108" t="s">
        <v>321</v>
      </c>
      <c r="G51" s="276" t="s">
        <v>191</v>
      </c>
      <c r="H51" s="156"/>
    </row>
    <row r="52" spans="2:10" ht="15.5">
      <c r="B52" s="93" t="s">
        <v>290</v>
      </c>
      <c r="C52" s="94" t="s">
        <v>251</v>
      </c>
      <c r="D52" s="94">
        <v>181231</v>
      </c>
      <c r="E52" s="288" t="s">
        <v>322</v>
      </c>
      <c r="F52" s="108" t="s">
        <v>321</v>
      </c>
      <c r="G52" s="276" t="s">
        <v>194</v>
      </c>
      <c r="H52" s="156"/>
    </row>
    <row r="53" spans="2:10" ht="15.5">
      <c r="B53" s="93" t="s">
        <v>290</v>
      </c>
      <c r="C53" s="94" t="s">
        <v>387</v>
      </c>
      <c r="D53" s="94">
        <v>184530</v>
      </c>
      <c r="E53" s="24" t="s">
        <v>388</v>
      </c>
      <c r="F53" s="108" t="s">
        <v>321</v>
      </c>
      <c r="G53" s="24" t="s">
        <v>386</v>
      </c>
      <c r="H53" s="156"/>
    </row>
    <row r="54" spans="2:10" ht="15.5">
      <c r="B54" s="93" t="s">
        <v>290</v>
      </c>
      <c r="C54" s="24" t="s">
        <v>317</v>
      </c>
      <c r="D54" s="280">
        <v>149915</v>
      </c>
      <c r="E54" s="281" t="s">
        <v>403</v>
      </c>
      <c r="F54" s="281" t="s">
        <v>404</v>
      </c>
      <c r="G54" s="281" t="s">
        <v>188</v>
      </c>
      <c r="H54" s="24"/>
    </row>
    <row r="55" spans="2:10" ht="15.5">
      <c r="B55" s="101"/>
      <c r="C55" s="33"/>
      <c r="D55" s="33"/>
      <c r="E55" s="202"/>
      <c r="F55" s="41"/>
      <c r="G55" s="70"/>
      <c r="H55" s="45"/>
    </row>
    <row r="56" spans="2:10" ht="15.5">
      <c r="B56" s="80" t="s">
        <v>405</v>
      </c>
      <c r="C56" s="32"/>
      <c r="D56" s="32"/>
      <c r="E56" s="80"/>
      <c r="F56" s="32"/>
      <c r="G56" s="32"/>
      <c r="H56" s="32"/>
    </row>
    <row r="57" spans="2:10" ht="15.5">
      <c r="B57" s="34" t="s">
        <v>76</v>
      </c>
      <c r="C57" s="34" t="s">
        <v>77</v>
      </c>
      <c r="D57" s="34" t="s">
        <v>78</v>
      </c>
      <c r="E57" s="43" t="s">
        <v>79</v>
      </c>
      <c r="F57" s="34" t="s">
        <v>80</v>
      </c>
      <c r="G57" s="60" t="s">
        <v>81</v>
      </c>
      <c r="H57" s="35" t="s">
        <v>100</v>
      </c>
    </row>
    <row r="58" spans="2:10" ht="15.5">
      <c r="B58" s="93" t="s">
        <v>290</v>
      </c>
      <c r="C58" s="94" t="s">
        <v>323</v>
      </c>
      <c r="D58" s="223">
        <v>171185</v>
      </c>
      <c r="E58" s="224" t="s">
        <v>324</v>
      </c>
      <c r="F58" s="221" t="s">
        <v>29</v>
      </c>
      <c r="G58" s="222" t="s">
        <v>390</v>
      </c>
      <c r="H58" s="176"/>
    </row>
    <row r="59" spans="2:10" ht="15.5">
      <c r="B59" s="93" t="s">
        <v>290</v>
      </c>
      <c r="C59" s="94" t="s">
        <v>251</v>
      </c>
      <c r="D59" s="94">
        <v>177952</v>
      </c>
      <c r="E59" s="288" t="s">
        <v>85</v>
      </c>
      <c r="F59" s="221" t="s">
        <v>321</v>
      </c>
      <c r="G59" s="222" t="s">
        <v>87</v>
      </c>
      <c r="H59" s="176"/>
    </row>
    <row r="60" spans="2:10" ht="15.5">
      <c r="B60" s="93" t="s">
        <v>290</v>
      </c>
      <c r="C60" s="283" t="s">
        <v>317</v>
      </c>
      <c r="D60" s="283">
        <v>149915</v>
      </c>
      <c r="E60" s="284" t="s">
        <v>318</v>
      </c>
      <c r="F60" s="285" t="s">
        <v>29</v>
      </c>
      <c r="G60" s="286" t="s">
        <v>319</v>
      </c>
      <c r="H60" s="287"/>
      <c r="I60" t="s">
        <v>408</v>
      </c>
      <c r="J60" t="s">
        <v>406</v>
      </c>
    </row>
    <row r="61" spans="2:10" ht="15.5">
      <c r="B61" s="93" t="s">
        <v>290</v>
      </c>
      <c r="C61" s="94" t="s">
        <v>251</v>
      </c>
      <c r="D61" s="94">
        <v>184374</v>
      </c>
      <c r="E61" s="95" t="s">
        <v>392</v>
      </c>
      <c r="F61" s="221" t="s">
        <v>29</v>
      </c>
      <c r="G61" s="277" t="s">
        <v>396</v>
      </c>
      <c r="H61" s="176"/>
    </row>
    <row r="62" spans="2:10" ht="16" thickBot="1">
      <c r="B62" s="93" t="s">
        <v>290</v>
      </c>
      <c r="C62" s="24" t="s">
        <v>395</v>
      </c>
      <c r="D62" s="292">
        <v>184966</v>
      </c>
      <c r="E62" s="199" t="s">
        <v>393</v>
      </c>
      <c r="F62" s="108" t="s">
        <v>321</v>
      </c>
      <c r="G62" s="214" t="s">
        <v>464</v>
      </c>
      <c r="H62" s="24" t="s">
        <v>394</v>
      </c>
    </row>
    <row r="63" spans="2:10" ht="15.5">
      <c r="B63" s="93" t="s">
        <v>290</v>
      </c>
      <c r="C63" s="97"/>
      <c r="D63" s="97"/>
      <c r="E63" s="85"/>
      <c r="F63" s="37"/>
      <c r="G63" s="83"/>
      <c r="H63" s="176"/>
    </row>
    <row r="64" spans="2:10">
      <c r="B64" s="84"/>
      <c r="C64" s="84"/>
      <c r="D64" s="84"/>
      <c r="E64" s="84"/>
      <c r="F64" s="84"/>
      <c r="G64" s="84"/>
      <c r="H64" s="84"/>
    </row>
    <row r="65" spans="2:10" ht="15.5">
      <c r="B65" s="80" t="s">
        <v>407</v>
      </c>
      <c r="C65" s="32"/>
      <c r="D65" s="32"/>
      <c r="E65" s="80"/>
      <c r="F65" s="32"/>
      <c r="G65" s="32"/>
      <c r="H65" s="32"/>
    </row>
    <row r="66" spans="2:10" ht="15.5">
      <c r="B66" s="34" t="s">
        <v>76</v>
      </c>
      <c r="C66" s="34" t="s">
        <v>77</v>
      </c>
      <c r="D66" s="34" t="s">
        <v>78</v>
      </c>
      <c r="E66" s="43" t="s">
        <v>79</v>
      </c>
      <c r="F66" s="34" t="s">
        <v>80</v>
      </c>
      <c r="G66" s="60" t="s">
        <v>81</v>
      </c>
      <c r="H66" s="35" t="s">
        <v>100</v>
      </c>
    </row>
    <row r="67" spans="2:10" ht="15.5">
      <c r="B67" s="93" t="s">
        <v>290</v>
      </c>
      <c r="C67" s="94" t="s">
        <v>251</v>
      </c>
      <c r="D67" s="94">
        <v>156227</v>
      </c>
      <c r="E67" s="220" t="s">
        <v>320</v>
      </c>
      <c r="F67" s="221" t="s">
        <v>321</v>
      </c>
      <c r="G67" s="222" t="s">
        <v>191</v>
      </c>
      <c r="H67" s="176"/>
    </row>
    <row r="68" spans="2:10" ht="15.5">
      <c r="B68" s="93" t="s">
        <v>290</v>
      </c>
      <c r="C68" s="94" t="s">
        <v>251</v>
      </c>
      <c r="D68" s="94">
        <v>181231</v>
      </c>
      <c r="E68" s="220" t="s">
        <v>322</v>
      </c>
      <c r="F68" s="221" t="s">
        <v>321</v>
      </c>
      <c r="G68" s="222" t="s">
        <v>194</v>
      </c>
      <c r="H68" s="176"/>
    </row>
    <row r="69" spans="2:10" ht="15.5">
      <c r="B69" s="93" t="s">
        <v>290</v>
      </c>
      <c r="C69" s="94" t="s">
        <v>387</v>
      </c>
      <c r="D69" s="94">
        <v>184530</v>
      </c>
      <c r="E69" t="s">
        <v>388</v>
      </c>
      <c r="F69" s="221" t="s">
        <v>321</v>
      </c>
      <c r="G69" t="s">
        <v>386</v>
      </c>
      <c r="H69" s="176"/>
      <c r="J69" t="s">
        <v>406</v>
      </c>
    </row>
    <row r="70" spans="2:10" ht="16" thickBot="1">
      <c r="B70" s="93" t="s">
        <v>290</v>
      </c>
      <c r="C70" s="24" t="s">
        <v>395</v>
      </c>
      <c r="D70" s="292">
        <v>184966</v>
      </c>
      <c r="E70" s="199" t="s">
        <v>393</v>
      </c>
      <c r="F70" s="108" t="s">
        <v>321</v>
      </c>
      <c r="G70" s="214" t="s">
        <v>464</v>
      </c>
      <c r="H70" s="24" t="s">
        <v>394</v>
      </c>
    </row>
    <row r="71" spans="2:10" ht="15.5">
      <c r="B71" s="93" t="s">
        <v>290</v>
      </c>
      <c r="C71" s="24" t="s">
        <v>395</v>
      </c>
      <c r="D71" s="278">
        <v>184131</v>
      </c>
      <c r="E71" s="279" t="s">
        <v>397</v>
      </c>
      <c r="F71" s="282" t="s">
        <v>29</v>
      </c>
      <c r="G71" s="279" t="s">
        <v>402</v>
      </c>
      <c r="H71" s="176"/>
    </row>
    <row r="72" spans="2:10" ht="15.5">
      <c r="B72" s="93" t="s">
        <v>290</v>
      </c>
      <c r="C72" s="24" t="s">
        <v>317</v>
      </c>
      <c r="D72" s="280">
        <v>149915</v>
      </c>
      <c r="E72" s="281" t="s">
        <v>403</v>
      </c>
      <c r="F72" s="281" t="s">
        <v>404</v>
      </c>
      <c r="G72" s="281" t="s">
        <v>188</v>
      </c>
      <c r="H72" s="176"/>
    </row>
    <row r="73" spans="2:10" ht="15.5">
      <c r="B73" s="80" t="s">
        <v>373</v>
      </c>
      <c r="C73" s="32"/>
      <c r="D73" s="32"/>
      <c r="E73" s="80"/>
      <c r="F73" s="32"/>
      <c r="G73" s="32"/>
      <c r="H73" s="32"/>
    </row>
    <row r="74" spans="2:10" ht="15.5">
      <c r="B74" s="34" t="s">
        <v>76</v>
      </c>
      <c r="C74" s="34" t="s">
        <v>77</v>
      </c>
      <c r="D74" s="34" t="s">
        <v>78</v>
      </c>
      <c r="E74" s="43" t="s">
        <v>79</v>
      </c>
      <c r="F74" s="34" t="s">
        <v>80</v>
      </c>
      <c r="G74" s="60" t="s">
        <v>81</v>
      </c>
      <c r="H74" s="35" t="s">
        <v>100</v>
      </c>
    </row>
    <row r="75" spans="2:10" ht="15.5">
      <c r="B75" s="93" t="s">
        <v>290</v>
      </c>
      <c r="C75" s="94" t="s">
        <v>323</v>
      </c>
      <c r="D75" s="223">
        <v>171185</v>
      </c>
      <c r="E75" s="224" t="s">
        <v>324</v>
      </c>
      <c r="F75" s="221" t="s">
        <v>29</v>
      </c>
      <c r="G75" s="222" t="s">
        <v>390</v>
      </c>
      <c r="H75" s="176"/>
    </row>
    <row r="76" spans="2:10" ht="15.5">
      <c r="B76" s="93" t="s">
        <v>290</v>
      </c>
      <c r="C76" s="94" t="s">
        <v>251</v>
      </c>
      <c r="D76" s="94">
        <v>177952</v>
      </c>
      <c r="E76" s="220" t="s">
        <v>85</v>
      </c>
      <c r="F76" s="221" t="s">
        <v>321</v>
      </c>
      <c r="G76" s="222" t="s">
        <v>87</v>
      </c>
      <c r="H76" s="176"/>
    </row>
    <row r="77" spans="2:10" ht="15.5">
      <c r="B77" s="93" t="s">
        <v>290</v>
      </c>
      <c r="C77" s="94" t="s">
        <v>317</v>
      </c>
      <c r="D77" s="94">
        <v>149915</v>
      </c>
      <c r="E77" s="220" t="s">
        <v>318</v>
      </c>
      <c r="F77" s="221" t="s">
        <v>29</v>
      </c>
      <c r="G77" s="222" t="s">
        <v>319</v>
      </c>
      <c r="H77" s="176"/>
      <c r="J77" t="s">
        <v>406</v>
      </c>
    </row>
    <row r="78" spans="2:10" ht="15.5">
      <c r="B78" s="93" t="s">
        <v>290</v>
      </c>
      <c r="C78" s="94" t="s">
        <v>251</v>
      </c>
      <c r="D78" s="94">
        <v>184374</v>
      </c>
      <c r="E78" s="95" t="s">
        <v>392</v>
      </c>
      <c r="F78" s="221" t="s">
        <v>29</v>
      </c>
      <c r="G78" s="277" t="s">
        <v>396</v>
      </c>
      <c r="H78" s="176"/>
    </row>
    <row r="79" spans="2:10" ht="15.5">
      <c r="B79" s="93" t="s">
        <v>290</v>
      </c>
      <c r="C79" s="24" t="s">
        <v>395</v>
      </c>
      <c r="D79" s="278">
        <v>159000</v>
      </c>
      <c r="E79" s="279" t="s">
        <v>398</v>
      </c>
      <c r="F79" s="282" t="s">
        <v>29</v>
      </c>
      <c r="G79" s="279" t="s">
        <v>400</v>
      </c>
      <c r="H79" s="176"/>
    </row>
    <row r="80" spans="2:10" ht="15.5">
      <c r="B80" s="93" t="s">
        <v>290</v>
      </c>
      <c r="C80" s="24" t="s">
        <v>395</v>
      </c>
      <c r="D80" s="280">
        <v>183858</v>
      </c>
      <c r="E80" s="281" t="s">
        <v>399</v>
      </c>
      <c r="F80" s="282" t="s">
        <v>29</v>
      </c>
      <c r="G80" s="281" t="s">
        <v>401</v>
      </c>
      <c r="H80" s="176"/>
    </row>
  </sheetData>
  <hyperlinks>
    <hyperlink ref="G51" r:id="rId1" xr:uid="{702CA068-FF2A-4A47-BD39-32F9C0865383}"/>
    <hyperlink ref="G52" r:id="rId2" xr:uid="{1F9892F9-C8F5-439C-89FA-1A7806563291}"/>
    <hyperlink ref="G67" r:id="rId3" xr:uid="{487E74E0-15FD-44AE-8777-9A7D22A7613A}"/>
    <hyperlink ref="G68" r:id="rId4" xr:uid="{0F428F28-435F-4D65-9FDE-9F62ED886B73}"/>
    <hyperlink ref="G59" r:id="rId5" xr:uid="{2A3E39C2-CCDE-467F-B961-5B8BAD2FF86F}"/>
    <hyperlink ref="G76" r:id="rId6" xr:uid="{9607B13F-0F44-4C3E-875A-9AD5A374B96D}"/>
    <hyperlink ref="G60" r:id="rId7" xr:uid="{80B2FE17-FFA8-41A2-8E9C-9D16F6CECB08}"/>
    <hyperlink ref="G77" r:id="rId8" xr:uid="{E58DA073-F0E0-46A7-95AD-3BFE1FDD170C}"/>
    <hyperlink ref="G61" r:id="rId9" display="mailto:Benz.Geevarghese@alfuttaim.com" xr:uid="{4997DD93-9000-4C36-8489-BDF8800AE4FB}"/>
    <hyperlink ref="G78" r:id="rId10" display="mailto:Benz.Geevarghese@alfuttaim.com" xr:uid="{36972CF7-46A8-4FFC-BCE4-E53E83CE11BA}"/>
    <hyperlink ref="G62" r:id="rId11" display="mailto:shamsudheen.valappil@alfuttaim.com" xr:uid="{007405B0-8283-465F-A53A-6CBEFA579804}"/>
    <hyperlink ref="G70" r:id="rId12" display="mailto:shamsudheen.valappil@alfuttaim.com" xr:uid="{347201DE-26E3-4BBD-968D-5268BF4489C0}"/>
  </hyperlinks>
  <pageMargins left="0.7" right="0.7" top="0.75" bottom="0.75" header="0.3" footer="0.3"/>
  <pageSetup paperSize="9" scale="84" orientation="landscape" r:id="rId13"/>
  <headerFooter>
    <oddFooter>&amp;C_x000D_&amp;1#&amp;"Calibri"&amp;10&amp;K000000 Restricted : General Al-Futtaim Group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84"/>
  <sheetViews>
    <sheetView topLeftCell="A25" zoomScale="70" zoomScaleNormal="70" workbookViewId="0">
      <selection activeCell="D22" sqref="D22"/>
    </sheetView>
  </sheetViews>
  <sheetFormatPr defaultColWidth="8.54296875" defaultRowHeight="14.5"/>
  <cols>
    <col min="1" max="1" width="8.54296875" style="64"/>
    <col min="2" max="2" width="16.36328125" style="64" customWidth="1"/>
    <col min="3" max="3" width="14.6328125" style="64" customWidth="1"/>
    <col min="4" max="4" width="16.6328125" style="64" customWidth="1"/>
    <col min="5" max="5" width="51" style="64" customWidth="1"/>
    <col min="6" max="6" width="14.54296875" style="64" customWidth="1"/>
    <col min="7" max="7" width="18.54296875" style="64" customWidth="1"/>
    <col min="8" max="8" width="6.08984375" style="64" bestFit="1" customWidth="1"/>
    <col min="9" max="9" width="23.1796875" style="64" customWidth="1"/>
    <col min="10" max="10" width="22.54296875" style="64" bestFit="1" customWidth="1"/>
    <col min="11" max="11" width="9" style="64" customWidth="1"/>
    <col min="12" max="12" width="13.36328125" style="64" customWidth="1"/>
    <col min="13" max="13" width="13" style="64" customWidth="1"/>
    <col min="14" max="14" width="13.6328125" style="64" customWidth="1"/>
    <col min="15" max="15" width="11.54296875" style="64" customWidth="1"/>
    <col min="16" max="16" width="20.453125" style="64" customWidth="1"/>
    <col min="17" max="17" width="13.6328125" style="64" customWidth="1"/>
    <col min="18" max="16384" width="8.54296875" style="64"/>
  </cols>
  <sheetData>
    <row r="1" spans="1:18" ht="15.65" customHeight="1">
      <c r="B1" s="80" t="s">
        <v>308</v>
      </c>
      <c r="C1" s="32"/>
      <c r="D1" s="32"/>
      <c r="E1" s="80"/>
      <c r="F1" s="32"/>
      <c r="G1" s="32"/>
      <c r="H1" s="32"/>
      <c r="I1" s="46"/>
      <c r="J1" s="46"/>
      <c r="K1" s="84"/>
      <c r="L1" s="86"/>
      <c r="M1" s="86"/>
      <c r="N1" s="86"/>
      <c r="O1" s="86"/>
      <c r="P1" s="86"/>
      <c r="Q1" s="86"/>
      <c r="R1" s="84"/>
    </row>
    <row r="2" spans="1:18" ht="15.5">
      <c r="A2" t="s">
        <v>368</v>
      </c>
      <c r="B2" s="34" t="s">
        <v>76</v>
      </c>
      <c r="C2" s="34" t="s">
        <v>77</v>
      </c>
      <c r="D2" s="34" t="s">
        <v>78</v>
      </c>
      <c r="E2" s="43" t="s">
        <v>79</v>
      </c>
      <c r="F2" s="34" t="s">
        <v>80</v>
      </c>
      <c r="G2" s="60" t="s">
        <v>81</v>
      </c>
      <c r="H2" s="35" t="s">
        <v>100</v>
      </c>
      <c r="I2" s="46"/>
      <c r="J2" s="46"/>
      <c r="K2" s="84"/>
      <c r="L2" s="84"/>
      <c r="M2" s="84"/>
      <c r="N2" s="84"/>
      <c r="P2" s="84"/>
      <c r="Q2" s="84"/>
      <c r="R2" s="84"/>
    </row>
    <row r="3" spans="1:18" ht="15.65" customHeight="1">
      <c r="A3" t="s">
        <v>348</v>
      </c>
      <c r="B3" s="93" t="s">
        <v>89</v>
      </c>
      <c r="C3" s="94" t="s">
        <v>125</v>
      </c>
      <c r="D3" s="93">
        <v>179859</v>
      </c>
      <c r="E3" s="95" t="s">
        <v>126</v>
      </c>
      <c r="F3" s="36" t="s">
        <v>268</v>
      </c>
      <c r="G3" s="61"/>
      <c r="H3" s="176"/>
      <c r="I3" s="350" t="s">
        <v>88</v>
      </c>
      <c r="J3" s="72" t="s">
        <v>459</v>
      </c>
      <c r="K3" s="84"/>
      <c r="L3" s="84"/>
      <c r="M3" s="84"/>
      <c r="N3" s="84"/>
      <c r="P3" s="84"/>
      <c r="Q3" s="84"/>
      <c r="R3" s="84"/>
    </row>
    <row r="4" spans="1:18" ht="15.65" customHeight="1">
      <c r="A4" t="s">
        <v>348</v>
      </c>
      <c r="B4" s="93" t="s">
        <v>89</v>
      </c>
      <c r="C4" s="96" t="s">
        <v>116</v>
      </c>
      <c r="D4" s="93">
        <v>114752</v>
      </c>
      <c r="E4" s="95" t="s">
        <v>164</v>
      </c>
      <c r="F4" s="36" t="s">
        <v>268</v>
      </c>
      <c r="G4" s="61"/>
      <c r="H4" s="176"/>
      <c r="I4" s="350" t="s">
        <v>88</v>
      </c>
      <c r="J4" s="46"/>
      <c r="K4" s="84"/>
      <c r="L4" s="84"/>
      <c r="M4" s="84"/>
      <c r="N4" s="84"/>
      <c r="P4" s="84"/>
      <c r="Q4" s="84"/>
      <c r="R4" s="84"/>
    </row>
    <row r="5" spans="1:18" ht="15.65" customHeight="1">
      <c r="A5" t="s">
        <v>348</v>
      </c>
      <c r="B5" s="93" t="s">
        <v>89</v>
      </c>
      <c r="C5" s="94" t="s">
        <v>102</v>
      </c>
      <c r="D5" s="93">
        <v>178371</v>
      </c>
      <c r="E5" s="95" t="s">
        <v>277</v>
      </c>
      <c r="F5" s="36" t="s">
        <v>268</v>
      </c>
      <c r="G5" s="61"/>
      <c r="H5" s="176"/>
      <c r="I5" s="350" t="s">
        <v>88</v>
      </c>
      <c r="J5" s="46"/>
      <c r="K5" s="84"/>
      <c r="L5" s="84"/>
      <c r="M5" s="352" t="s">
        <v>471</v>
      </c>
      <c r="N5" s="351" t="s">
        <v>470</v>
      </c>
      <c r="O5" s="352" t="s">
        <v>469</v>
      </c>
      <c r="P5" s="351" t="s">
        <v>468</v>
      </c>
      <c r="Q5" s="84"/>
      <c r="R5" s="84"/>
    </row>
    <row r="6" spans="1:18" ht="15" customHeight="1">
      <c r="A6" t="s">
        <v>348</v>
      </c>
      <c r="B6" s="93" t="s">
        <v>89</v>
      </c>
      <c r="C6" s="96" t="s">
        <v>116</v>
      </c>
      <c r="D6" s="207">
        <v>109550</v>
      </c>
      <c r="E6" s="85" t="s">
        <v>309</v>
      </c>
      <c r="F6" s="37" t="s">
        <v>268</v>
      </c>
      <c r="G6" s="83"/>
      <c r="H6" s="176"/>
      <c r="I6" s="350" t="s">
        <v>88</v>
      </c>
      <c r="J6" s="72" t="s">
        <v>459</v>
      </c>
      <c r="K6" s="84"/>
      <c r="L6" s="84" t="s">
        <v>326</v>
      </c>
      <c r="M6" s="353">
        <f>21/21</f>
        <v>1</v>
      </c>
      <c r="N6" s="353">
        <f>16/21</f>
        <v>0.76190476190476186</v>
      </c>
      <c r="O6" s="353">
        <f>19/21</f>
        <v>0.90476190476190477</v>
      </c>
      <c r="P6" s="353">
        <f t="shared" ref="P6" si="0">21/21</f>
        <v>1</v>
      </c>
      <c r="Q6" s="353">
        <f>AVERAGE(M6:P6)</f>
        <v>0.91666666666666663</v>
      </c>
      <c r="R6" s="84"/>
    </row>
    <row r="7" spans="1:18" ht="15.75" customHeight="1">
      <c r="A7" t="s">
        <v>348</v>
      </c>
      <c r="B7" s="93" t="s">
        <v>89</v>
      </c>
      <c r="C7" s="103" t="s">
        <v>110</v>
      </c>
      <c r="D7" s="208">
        <v>178622</v>
      </c>
      <c r="E7" s="92" t="s">
        <v>289</v>
      </c>
      <c r="F7" s="37" t="s">
        <v>268</v>
      </c>
      <c r="G7" s="83"/>
      <c r="H7" s="176"/>
      <c r="I7" s="350" t="s">
        <v>88</v>
      </c>
      <c r="J7" s="46"/>
      <c r="K7" s="84"/>
      <c r="L7" s="84" t="s">
        <v>387</v>
      </c>
      <c r="M7" s="353">
        <f>11/11</f>
        <v>1</v>
      </c>
      <c r="N7" s="353">
        <f>10/11</f>
        <v>0.90909090909090906</v>
      </c>
      <c r="O7" s="353">
        <f>9/11</f>
        <v>0.81818181818181823</v>
      </c>
      <c r="P7" s="353">
        <f t="shared" ref="P7" si="1">11/11</f>
        <v>1</v>
      </c>
      <c r="Q7" s="353">
        <f>AVERAGE(M7:P7)</f>
        <v>0.93181818181818188</v>
      </c>
      <c r="R7" s="84"/>
    </row>
    <row r="8" spans="1:18" ht="15.65" customHeight="1">
      <c r="A8" s="268" t="s">
        <v>341</v>
      </c>
      <c r="B8" s="93" t="s">
        <v>89</v>
      </c>
      <c r="C8" s="103" t="s">
        <v>350</v>
      </c>
      <c r="D8" s="103">
        <v>179390</v>
      </c>
      <c r="E8" s="92" t="s">
        <v>456</v>
      </c>
      <c r="F8" s="37"/>
      <c r="G8" s="83"/>
      <c r="H8" s="176"/>
      <c r="I8" s="72" t="s">
        <v>460</v>
      </c>
      <c r="J8" s="72" t="s">
        <v>462</v>
      </c>
      <c r="K8" s="84"/>
      <c r="L8" s="84"/>
      <c r="M8" s="84"/>
      <c r="N8" s="84"/>
      <c r="P8" s="84"/>
      <c r="Q8" s="84"/>
      <c r="R8" s="84"/>
    </row>
    <row r="9" spans="1:18" ht="15.65" customHeight="1">
      <c r="A9" s="268" t="s">
        <v>341</v>
      </c>
      <c r="B9" s="93" t="s">
        <v>89</v>
      </c>
      <c r="C9" s="103" t="s">
        <v>352</v>
      </c>
      <c r="D9" s="103">
        <v>150354</v>
      </c>
      <c r="E9" s="92" t="s">
        <v>353</v>
      </c>
      <c r="F9" s="37"/>
      <c r="G9" s="83"/>
      <c r="H9" s="176"/>
      <c r="I9" s="350" t="s">
        <v>88</v>
      </c>
      <c r="J9" s="46"/>
      <c r="K9" s="84"/>
      <c r="L9" s="84"/>
      <c r="M9" s="84"/>
      <c r="N9" s="84"/>
      <c r="P9" s="84"/>
      <c r="Q9" s="84"/>
      <c r="R9" s="84"/>
    </row>
    <row r="10" spans="1:18" ht="15.65" customHeight="1">
      <c r="A10" s="268" t="s">
        <v>341</v>
      </c>
      <c r="B10" s="93" t="s">
        <v>89</v>
      </c>
      <c r="C10" s="103" t="s">
        <v>354</v>
      </c>
      <c r="D10" s="103">
        <v>125874</v>
      </c>
      <c r="E10" s="92" t="s">
        <v>355</v>
      </c>
      <c r="F10" s="37"/>
      <c r="G10" s="83"/>
      <c r="H10" s="176"/>
      <c r="I10" s="350" t="s">
        <v>88</v>
      </c>
      <c r="J10" s="46"/>
      <c r="K10" s="84"/>
      <c r="L10" s="84"/>
      <c r="M10" s="84"/>
      <c r="N10" s="84"/>
      <c r="P10" s="84"/>
      <c r="Q10" s="84"/>
      <c r="R10" s="84"/>
    </row>
    <row r="11" spans="1:18" ht="15.65" customHeight="1">
      <c r="A11" s="268" t="s">
        <v>341</v>
      </c>
      <c r="B11" s="93" t="s">
        <v>89</v>
      </c>
      <c r="C11" s="103" t="s">
        <v>354</v>
      </c>
      <c r="D11" s="103">
        <v>176216</v>
      </c>
      <c r="E11" s="92" t="s">
        <v>356</v>
      </c>
      <c r="F11" s="37"/>
      <c r="G11" s="83"/>
      <c r="H11" s="176"/>
      <c r="I11" s="46" t="s">
        <v>88</v>
      </c>
      <c r="J11" s="46"/>
      <c r="K11" s="84"/>
      <c r="L11" s="84"/>
      <c r="M11" s="84"/>
      <c r="N11" s="84"/>
      <c r="P11" s="84"/>
      <c r="Q11" s="84"/>
      <c r="R11" s="84"/>
    </row>
    <row r="12" spans="1:18" ht="15.65" customHeight="1">
      <c r="B12" s="93"/>
      <c r="C12" s="103"/>
      <c r="D12" s="208"/>
      <c r="E12" s="92"/>
      <c r="F12" s="37"/>
      <c r="G12" s="83"/>
      <c r="H12" s="176"/>
      <c r="I12" s="46"/>
      <c r="J12" s="46"/>
      <c r="K12" s="84"/>
      <c r="L12" s="84"/>
      <c r="M12" s="84"/>
      <c r="N12" s="84"/>
      <c r="P12" s="84"/>
      <c r="Q12" s="84"/>
      <c r="R12" s="84"/>
    </row>
    <row r="13" spans="1:18" ht="15.65" customHeight="1">
      <c r="B13" s="93"/>
      <c r="C13" s="103"/>
      <c r="D13" s="208"/>
      <c r="E13" s="92"/>
      <c r="F13" s="37"/>
      <c r="G13" s="83"/>
      <c r="H13" s="176"/>
      <c r="I13" s="46"/>
      <c r="J13" s="46"/>
      <c r="K13" s="84"/>
      <c r="L13" s="84"/>
      <c r="M13" s="84"/>
      <c r="N13" s="84"/>
      <c r="P13" s="84"/>
      <c r="Q13" s="84"/>
      <c r="R13" s="84"/>
    </row>
    <row r="14" spans="1:18" ht="15.65" customHeight="1">
      <c r="B14" s="77"/>
      <c r="C14" s="89"/>
      <c r="D14" s="79"/>
      <c r="E14" s="71"/>
      <c r="F14" s="41"/>
      <c r="G14" s="70"/>
      <c r="H14" s="45"/>
      <c r="I14" s="46"/>
      <c r="J14" s="46"/>
      <c r="K14" s="84"/>
      <c r="L14" s="84"/>
      <c r="M14" s="84"/>
      <c r="N14" s="84"/>
      <c r="P14" s="84"/>
      <c r="Q14" s="84"/>
      <c r="R14" s="84"/>
    </row>
    <row r="15" spans="1:18" ht="14.75" customHeight="1">
      <c r="B15" s="80" t="s">
        <v>310</v>
      </c>
      <c r="C15" s="32"/>
      <c r="D15" s="32"/>
      <c r="E15" s="80"/>
      <c r="F15" s="32"/>
      <c r="G15" s="32"/>
      <c r="H15" s="32"/>
      <c r="I15" s="46"/>
      <c r="J15" s="46"/>
      <c r="K15" s="84"/>
      <c r="L15" s="84"/>
      <c r="M15" s="84"/>
      <c r="N15" s="84"/>
      <c r="P15" s="84"/>
      <c r="Q15" s="84"/>
      <c r="R15" s="84"/>
    </row>
    <row r="16" spans="1:18" ht="15.65" customHeight="1">
      <c r="B16" s="34" t="s">
        <v>76</v>
      </c>
      <c r="C16" s="34" t="s">
        <v>77</v>
      </c>
      <c r="D16" s="34" t="s">
        <v>78</v>
      </c>
      <c r="E16" s="43" t="s">
        <v>79</v>
      </c>
      <c r="F16" s="34" t="s">
        <v>80</v>
      </c>
      <c r="G16" s="60" t="s">
        <v>81</v>
      </c>
      <c r="H16" s="35" t="s">
        <v>100</v>
      </c>
      <c r="I16" s="46"/>
      <c r="J16" s="46"/>
      <c r="K16" s="84"/>
      <c r="L16" s="84"/>
      <c r="M16" s="84"/>
      <c r="N16" s="84"/>
      <c r="P16" s="84"/>
      <c r="Q16" s="84"/>
      <c r="R16" s="84"/>
    </row>
    <row r="17" spans="1:18" ht="15.5">
      <c r="A17" t="s">
        <v>348</v>
      </c>
      <c r="B17" s="93" t="s">
        <v>89</v>
      </c>
      <c r="C17" s="94" t="s">
        <v>125</v>
      </c>
      <c r="D17" s="93">
        <v>165694</v>
      </c>
      <c r="E17" s="95" t="s">
        <v>275</v>
      </c>
      <c r="F17" s="36" t="s">
        <v>268</v>
      </c>
      <c r="G17" s="61"/>
      <c r="H17" s="176"/>
      <c r="I17" s="46" t="s">
        <v>88</v>
      </c>
      <c r="J17" s="46"/>
      <c r="K17" s="84"/>
      <c r="L17" s="84"/>
      <c r="M17" s="84"/>
      <c r="N17" s="84"/>
      <c r="P17" s="84"/>
      <c r="Q17" s="84"/>
      <c r="R17" s="84"/>
    </row>
    <row r="18" spans="1:18" ht="15.5">
      <c r="A18" t="s">
        <v>348</v>
      </c>
      <c r="B18" s="93" t="s">
        <v>89</v>
      </c>
      <c r="C18" s="94" t="s">
        <v>121</v>
      </c>
      <c r="D18" s="93">
        <v>128282</v>
      </c>
      <c r="E18" s="95" t="s">
        <v>267</v>
      </c>
      <c r="F18" s="36" t="s">
        <v>268</v>
      </c>
      <c r="G18" s="61"/>
      <c r="H18" s="176"/>
      <c r="I18" s="46" t="s">
        <v>88</v>
      </c>
      <c r="J18" s="72" t="s">
        <v>463</v>
      </c>
      <c r="K18" s="84"/>
      <c r="L18" s="84"/>
      <c r="M18" s="84"/>
      <c r="N18" s="84"/>
      <c r="P18" s="84"/>
      <c r="Q18" s="84"/>
      <c r="R18" s="84"/>
    </row>
    <row r="19" spans="1:18" ht="15.65" customHeight="1">
      <c r="A19" t="s">
        <v>348</v>
      </c>
      <c r="B19" s="93" t="s">
        <v>89</v>
      </c>
      <c r="C19" s="94" t="s">
        <v>102</v>
      </c>
      <c r="D19" s="93">
        <v>181703</v>
      </c>
      <c r="E19" s="95" t="s">
        <v>286</v>
      </c>
      <c r="F19" s="36" t="s">
        <v>268</v>
      </c>
      <c r="G19" s="61"/>
      <c r="H19" s="176"/>
      <c r="I19" s="46" t="s">
        <v>88</v>
      </c>
      <c r="J19" s="72"/>
      <c r="K19" s="84"/>
      <c r="L19" s="84"/>
      <c r="M19" s="84"/>
      <c r="N19" s="84"/>
      <c r="P19" s="84"/>
      <c r="Q19" s="84"/>
      <c r="R19" s="84"/>
    </row>
    <row r="20" spans="1:18" ht="15.65" customHeight="1">
      <c r="A20" t="s">
        <v>348</v>
      </c>
      <c r="B20" s="93" t="s">
        <v>89</v>
      </c>
      <c r="C20" s="94" t="s">
        <v>102</v>
      </c>
      <c r="D20" s="93">
        <v>166357</v>
      </c>
      <c r="E20" s="95" t="s">
        <v>287</v>
      </c>
      <c r="F20" s="36" t="s">
        <v>268</v>
      </c>
      <c r="G20" s="61"/>
      <c r="H20" s="176"/>
      <c r="I20" s="46" t="s">
        <v>88</v>
      </c>
      <c r="J20" s="46"/>
      <c r="K20" s="84"/>
      <c r="L20" s="84"/>
      <c r="M20" s="84"/>
      <c r="N20" s="84"/>
      <c r="P20" s="84"/>
      <c r="Q20" s="84"/>
      <c r="R20" s="84"/>
    </row>
    <row r="21" spans="1:18" ht="15.65" customHeight="1">
      <c r="A21" t="s">
        <v>348</v>
      </c>
      <c r="B21" s="93" t="s">
        <v>89</v>
      </c>
      <c r="C21" s="96" t="s">
        <v>311</v>
      </c>
      <c r="D21" s="207">
        <v>129165</v>
      </c>
      <c r="E21" s="85" t="s">
        <v>458</v>
      </c>
      <c r="F21" s="37" t="s">
        <v>268</v>
      </c>
      <c r="G21" s="83"/>
      <c r="H21" s="176"/>
      <c r="I21" s="72" t="s">
        <v>460</v>
      </c>
      <c r="J21" s="72" t="s">
        <v>462</v>
      </c>
      <c r="K21" s="84"/>
      <c r="L21" s="84"/>
      <c r="M21" s="84"/>
      <c r="N21" s="84"/>
      <c r="P21" s="84"/>
      <c r="Q21" s="84"/>
      <c r="R21" s="84"/>
    </row>
    <row r="22" spans="1:18" ht="15" customHeight="1">
      <c r="A22" t="s">
        <v>348</v>
      </c>
      <c r="B22" s="93" t="s">
        <v>89</v>
      </c>
      <c r="C22" s="94" t="s">
        <v>311</v>
      </c>
      <c r="D22" s="93">
        <v>64576</v>
      </c>
      <c r="E22" s="95" t="s">
        <v>280</v>
      </c>
      <c r="F22" s="36" t="s">
        <v>268</v>
      </c>
      <c r="G22" s="83"/>
      <c r="H22" s="176"/>
      <c r="I22" s="46" t="s">
        <v>88</v>
      </c>
      <c r="J22" s="46"/>
      <c r="K22" s="84"/>
      <c r="L22" s="84"/>
      <c r="M22" s="84"/>
      <c r="N22" s="84"/>
      <c r="P22" s="84"/>
      <c r="Q22" s="84"/>
      <c r="R22" s="84"/>
    </row>
    <row r="23" spans="1:18" ht="15.75" customHeight="1">
      <c r="A23" s="268" t="s">
        <v>341</v>
      </c>
      <c r="B23" s="93" t="s">
        <v>89</v>
      </c>
      <c r="C23" s="103" t="s">
        <v>354</v>
      </c>
      <c r="D23" s="103">
        <v>168648</v>
      </c>
      <c r="E23" s="103" t="s">
        <v>357</v>
      </c>
      <c r="F23" s="37"/>
      <c r="G23" s="83"/>
      <c r="H23" s="176"/>
      <c r="I23" s="46" t="s">
        <v>88</v>
      </c>
      <c r="J23" s="46"/>
      <c r="K23" s="84"/>
      <c r="L23" s="84"/>
      <c r="M23" s="84"/>
      <c r="N23" s="84"/>
      <c r="P23" s="84"/>
      <c r="Q23" s="84"/>
      <c r="R23" s="84"/>
    </row>
    <row r="24" spans="1:18" ht="15.65" customHeight="1">
      <c r="A24" s="268" t="s">
        <v>341</v>
      </c>
      <c r="B24" s="93" t="s">
        <v>89</v>
      </c>
      <c r="C24" s="103" t="s">
        <v>350</v>
      </c>
      <c r="D24" s="103">
        <v>176214</v>
      </c>
      <c r="E24" s="103" t="s">
        <v>359</v>
      </c>
      <c r="F24" s="37"/>
      <c r="G24" s="83"/>
      <c r="H24" s="176"/>
      <c r="I24" s="257" t="s">
        <v>465</v>
      </c>
      <c r="J24" s="72" t="s">
        <v>462</v>
      </c>
      <c r="K24" s="84"/>
      <c r="L24" s="84"/>
      <c r="M24" s="84"/>
      <c r="N24" s="84"/>
      <c r="P24" s="84"/>
      <c r="Q24" s="84"/>
      <c r="R24" s="84"/>
    </row>
    <row r="25" spans="1:18" ht="15.65" customHeight="1">
      <c r="A25" s="268" t="s">
        <v>341</v>
      </c>
      <c r="B25" s="93" t="s">
        <v>89</v>
      </c>
      <c r="C25" s="103" t="s">
        <v>354</v>
      </c>
      <c r="D25" s="103">
        <v>176108</v>
      </c>
      <c r="E25" s="103" t="s">
        <v>363</v>
      </c>
      <c r="F25" s="37"/>
      <c r="G25" s="83"/>
      <c r="H25" s="176"/>
      <c r="I25" s="46" t="s">
        <v>88</v>
      </c>
      <c r="J25" s="72" t="s">
        <v>463</v>
      </c>
      <c r="K25" s="84"/>
      <c r="L25" s="84"/>
      <c r="M25" s="84"/>
      <c r="N25" s="84"/>
      <c r="P25" s="84"/>
      <c r="Q25" s="84"/>
      <c r="R25" s="84"/>
    </row>
    <row r="26" spans="1:18" ht="15.65" customHeight="1">
      <c r="A26" t="s">
        <v>348</v>
      </c>
      <c r="B26" s="93" t="s">
        <v>89</v>
      </c>
      <c r="C26" s="103" t="s">
        <v>116</v>
      </c>
      <c r="D26" s="208">
        <v>179194</v>
      </c>
      <c r="E26" s="92" t="s">
        <v>467</v>
      </c>
      <c r="F26" s="37" t="s">
        <v>268</v>
      </c>
      <c r="G26" s="83" t="s">
        <v>461</v>
      </c>
      <c r="H26" s="176"/>
      <c r="I26" s="46" t="s">
        <v>88</v>
      </c>
      <c r="J26" s="72" t="s">
        <v>459</v>
      </c>
      <c r="K26" s="84"/>
      <c r="L26" s="84"/>
      <c r="M26" s="84"/>
      <c r="N26" s="84"/>
      <c r="P26" s="84"/>
      <c r="Q26" s="84"/>
      <c r="R26" s="84"/>
    </row>
    <row r="27" spans="1:18" ht="15.65" customHeight="1">
      <c r="A27" t="s">
        <v>348</v>
      </c>
      <c r="B27" s="93" t="s">
        <v>89</v>
      </c>
      <c r="C27" s="94" t="s">
        <v>116</v>
      </c>
      <c r="D27" s="93">
        <v>136865</v>
      </c>
      <c r="E27" s="95" t="s">
        <v>297</v>
      </c>
      <c r="F27" s="36"/>
      <c r="G27" s="61"/>
      <c r="H27" s="176"/>
      <c r="I27" s="46" t="s">
        <v>88</v>
      </c>
      <c r="J27" s="46"/>
      <c r="K27" s="84"/>
      <c r="L27" s="84"/>
      <c r="M27" s="84"/>
      <c r="N27" s="84"/>
      <c r="P27" s="84"/>
      <c r="Q27" s="84"/>
      <c r="R27" s="84"/>
    </row>
    <row r="28" spans="1:18" ht="15.65" customHeight="1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P28" s="84"/>
      <c r="Q28" s="84"/>
      <c r="R28" s="84"/>
    </row>
    <row r="29" spans="1:18" ht="15.65" customHeight="1">
      <c r="B29" s="80" t="s">
        <v>312</v>
      </c>
      <c r="C29" s="32"/>
      <c r="D29" s="32"/>
      <c r="E29" s="80"/>
      <c r="F29" s="32"/>
      <c r="G29" s="32"/>
      <c r="H29" s="32"/>
      <c r="I29" s="46"/>
      <c r="J29" s="46"/>
      <c r="K29" s="84"/>
      <c r="L29" s="84"/>
      <c r="M29" s="84"/>
      <c r="N29" s="84"/>
      <c r="P29" s="84"/>
      <c r="Q29" s="84"/>
      <c r="R29" s="84"/>
    </row>
    <row r="30" spans="1:18" ht="15.65" customHeight="1">
      <c r="B30" s="34" t="s">
        <v>76</v>
      </c>
      <c r="C30" s="34" t="s">
        <v>77</v>
      </c>
      <c r="D30" s="34" t="s">
        <v>78</v>
      </c>
      <c r="E30" s="43" t="s">
        <v>79</v>
      </c>
      <c r="F30" s="34" t="s">
        <v>80</v>
      </c>
      <c r="G30" s="60" t="s">
        <v>81</v>
      </c>
      <c r="H30" s="35" t="s">
        <v>100</v>
      </c>
      <c r="I30" s="46"/>
      <c r="J30" s="46"/>
      <c r="K30" s="84"/>
      <c r="L30" s="84"/>
      <c r="M30" s="84"/>
      <c r="N30" s="84"/>
      <c r="P30" s="84"/>
      <c r="Q30" s="84"/>
      <c r="R30" s="84"/>
    </row>
    <row r="31" spans="1:18" ht="15.5">
      <c r="A31" t="s">
        <v>348</v>
      </c>
      <c r="B31" s="93" t="s">
        <v>89</v>
      </c>
      <c r="C31" s="94" t="s">
        <v>102</v>
      </c>
      <c r="D31" s="93">
        <v>154728</v>
      </c>
      <c r="E31" s="95" t="s">
        <v>457</v>
      </c>
      <c r="F31" s="36"/>
      <c r="G31" s="61"/>
      <c r="H31" s="176"/>
      <c r="I31" s="72" t="s">
        <v>460</v>
      </c>
      <c r="J31" s="72" t="s">
        <v>462</v>
      </c>
      <c r="K31" s="84"/>
      <c r="L31" s="84"/>
      <c r="M31" s="84"/>
      <c r="N31" s="84"/>
      <c r="P31" s="84"/>
      <c r="Q31" s="84"/>
      <c r="R31" s="84"/>
    </row>
    <row r="32" spans="1:18" ht="15.65" customHeight="1">
      <c r="A32" t="s">
        <v>348</v>
      </c>
      <c r="B32" s="93" t="s">
        <v>89</v>
      </c>
      <c r="C32" s="94" t="s">
        <v>102</v>
      </c>
      <c r="D32" s="93">
        <v>149930</v>
      </c>
      <c r="E32" s="95" t="s">
        <v>270</v>
      </c>
      <c r="F32" s="36"/>
      <c r="G32" s="61"/>
      <c r="H32" s="176"/>
      <c r="I32" s="46" t="s">
        <v>88</v>
      </c>
      <c r="J32" s="46"/>
      <c r="K32" s="84"/>
      <c r="L32" s="86"/>
      <c r="M32" s="86"/>
      <c r="N32" s="86"/>
      <c r="O32" s="86"/>
      <c r="P32" s="86"/>
      <c r="Q32" s="86"/>
      <c r="R32" s="84"/>
    </row>
    <row r="33" spans="1:18" ht="15.5">
      <c r="A33" t="s">
        <v>348</v>
      </c>
      <c r="B33" s="93" t="s">
        <v>89</v>
      </c>
      <c r="C33" s="94" t="s">
        <v>121</v>
      </c>
      <c r="D33" s="93">
        <v>179616</v>
      </c>
      <c r="E33" s="95" t="s">
        <v>295</v>
      </c>
      <c r="F33" s="36"/>
      <c r="G33" s="61"/>
      <c r="H33" s="176"/>
      <c r="I33" s="46" t="s">
        <v>88</v>
      </c>
      <c r="J33" s="46"/>
      <c r="K33" s="84"/>
      <c r="L33" s="86"/>
      <c r="M33" s="86"/>
      <c r="N33" s="86"/>
      <c r="O33" s="86"/>
      <c r="P33" s="86"/>
      <c r="Q33" s="86"/>
      <c r="R33" s="84"/>
    </row>
    <row r="34" spans="1:18" ht="15.65" customHeight="1">
      <c r="A34" t="s">
        <v>348</v>
      </c>
      <c r="B34" s="93" t="s">
        <v>89</v>
      </c>
      <c r="C34" s="96" t="s">
        <v>116</v>
      </c>
      <c r="D34" s="207">
        <v>137569</v>
      </c>
      <c r="E34" s="85" t="s">
        <v>313</v>
      </c>
      <c r="F34" s="37"/>
      <c r="G34" s="83"/>
      <c r="H34" s="176"/>
      <c r="I34" s="46" t="s">
        <v>88</v>
      </c>
      <c r="J34" s="46"/>
      <c r="K34" s="84"/>
      <c r="L34" s="88"/>
      <c r="M34" s="89"/>
      <c r="N34" s="89"/>
      <c r="O34" s="89"/>
      <c r="P34" s="81"/>
      <c r="Q34" s="69"/>
      <c r="R34" s="84"/>
    </row>
    <row r="35" spans="1:18" ht="15.65" customHeight="1">
      <c r="A35" t="s">
        <v>348</v>
      </c>
      <c r="B35" s="93" t="s">
        <v>89</v>
      </c>
      <c r="C35" s="103" t="s">
        <v>116</v>
      </c>
      <c r="D35" s="208">
        <v>177158</v>
      </c>
      <c r="E35" s="92" t="s">
        <v>314</v>
      </c>
      <c r="F35" s="37"/>
      <c r="G35" s="83"/>
      <c r="H35" s="176"/>
      <c r="I35" s="46" t="s">
        <v>88</v>
      </c>
      <c r="J35" s="46"/>
      <c r="K35" s="84"/>
      <c r="L35" s="90"/>
      <c r="M35" s="87"/>
      <c r="N35" s="87"/>
      <c r="O35" s="89"/>
      <c r="P35" s="81"/>
      <c r="Q35" s="59"/>
      <c r="R35" s="84"/>
    </row>
    <row r="36" spans="1:18" ht="15.65" customHeight="1">
      <c r="A36" t="s">
        <v>348</v>
      </c>
      <c r="B36" s="93" t="s">
        <v>89</v>
      </c>
      <c r="C36" s="103" t="s">
        <v>110</v>
      </c>
      <c r="D36" s="208">
        <v>116086</v>
      </c>
      <c r="E36" s="92" t="s">
        <v>273</v>
      </c>
      <c r="F36" s="37"/>
      <c r="G36" s="83"/>
      <c r="H36" s="176"/>
      <c r="I36" s="46" t="s">
        <v>88</v>
      </c>
      <c r="J36" s="46"/>
      <c r="K36" s="84"/>
      <c r="L36" s="90"/>
      <c r="M36" s="87"/>
      <c r="N36" s="89"/>
      <c r="O36" s="89"/>
      <c r="P36" s="81"/>
      <c r="Q36" s="59"/>
      <c r="R36" s="84"/>
    </row>
    <row r="37" spans="1:18" ht="15" customHeight="1">
      <c r="A37" s="268" t="s">
        <v>341</v>
      </c>
      <c r="B37" s="93" t="s">
        <v>89</v>
      </c>
      <c r="C37" s="263" t="s">
        <v>354</v>
      </c>
      <c r="D37" s="303">
        <v>179572</v>
      </c>
      <c r="E37" s="263" t="s">
        <v>364</v>
      </c>
      <c r="F37" s="37"/>
      <c r="G37" s="83"/>
      <c r="H37" s="176"/>
      <c r="I37" s="46" t="s">
        <v>88</v>
      </c>
      <c r="J37" s="46"/>
      <c r="K37" s="84"/>
      <c r="L37" s="90"/>
      <c r="M37" s="87"/>
      <c r="N37" s="87"/>
      <c r="O37" s="89"/>
      <c r="P37" s="81"/>
      <c r="Q37" s="59"/>
      <c r="R37" s="84"/>
    </row>
    <row r="38" spans="1:18" ht="15.65" customHeight="1">
      <c r="A38" s="268" t="s">
        <v>341</v>
      </c>
      <c r="B38" s="93" t="s">
        <v>89</v>
      </c>
      <c r="C38" s="263" t="s">
        <v>354</v>
      </c>
      <c r="D38" s="303">
        <v>180320</v>
      </c>
      <c r="E38" s="263" t="s">
        <v>365</v>
      </c>
      <c r="F38" s="37"/>
      <c r="G38" s="83"/>
      <c r="H38" s="176"/>
      <c r="I38" s="46" t="s">
        <v>88</v>
      </c>
      <c r="J38" s="46"/>
      <c r="K38" s="84"/>
      <c r="L38" s="86"/>
      <c r="M38" s="86"/>
      <c r="N38" s="86"/>
      <c r="O38" s="86"/>
      <c r="P38" s="84"/>
      <c r="Q38" s="84"/>
      <c r="R38" s="84"/>
    </row>
    <row r="39" spans="1:18" ht="15.65" customHeight="1">
      <c r="A39" s="268" t="s">
        <v>341</v>
      </c>
      <c r="B39" s="93" t="s">
        <v>89</v>
      </c>
      <c r="C39" s="263" t="s">
        <v>354</v>
      </c>
      <c r="D39" s="303">
        <v>175105</v>
      </c>
      <c r="E39" s="263" t="s">
        <v>366</v>
      </c>
      <c r="F39" s="37"/>
      <c r="G39" s="83"/>
      <c r="H39" s="176"/>
      <c r="I39" s="46" t="s">
        <v>88</v>
      </c>
      <c r="J39" s="46"/>
      <c r="K39" s="84"/>
      <c r="L39" s="86"/>
      <c r="M39" s="86"/>
      <c r="N39" s="86"/>
      <c r="O39" s="86"/>
      <c r="P39" s="84"/>
      <c r="Q39" s="84"/>
      <c r="R39" s="84"/>
    </row>
    <row r="40" spans="1:18" ht="15.65" customHeight="1">
      <c r="A40" s="268" t="s">
        <v>341</v>
      </c>
      <c r="B40" s="93" t="s">
        <v>89</v>
      </c>
      <c r="C40" s="263" t="s">
        <v>352</v>
      </c>
      <c r="D40" s="303">
        <v>181740</v>
      </c>
      <c r="E40" s="85" t="s">
        <v>362</v>
      </c>
      <c r="F40" s="37"/>
      <c r="G40" s="83"/>
      <c r="H40" s="176"/>
      <c r="I40" s="46" t="s">
        <v>88</v>
      </c>
      <c r="J40" s="72"/>
      <c r="K40" s="84"/>
      <c r="L40" s="86"/>
      <c r="M40" s="86"/>
      <c r="N40" s="86"/>
      <c r="O40" s="86"/>
      <c r="P40" s="84"/>
      <c r="Q40" s="84"/>
      <c r="R40" s="84"/>
    </row>
    <row r="41" spans="1:18" ht="15.65" customHeight="1">
      <c r="A41" t="s">
        <v>348</v>
      </c>
      <c r="B41" s="93" t="s">
        <v>89</v>
      </c>
      <c r="C41" s="94" t="s">
        <v>102</v>
      </c>
      <c r="D41" s="93">
        <v>173994</v>
      </c>
      <c r="E41" s="95" t="s">
        <v>276</v>
      </c>
      <c r="F41" s="36" t="s">
        <v>268</v>
      </c>
      <c r="G41" s="83" t="s">
        <v>461</v>
      </c>
      <c r="H41" s="176"/>
      <c r="I41" s="46" t="s">
        <v>88</v>
      </c>
      <c r="J41" s="46"/>
      <c r="K41" s="84"/>
      <c r="L41" s="86"/>
      <c r="M41" s="86"/>
      <c r="N41" s="86"/>
      <c r="O41" s="86"/>
      <c r="P41" s="84"/>
      <c r="Q41" s="84"/>
      <c r="R41" s="84"/>
    </row>
    <row r="42" spans="1:18" ht="15.65" customHeight="1">
      <c r="A42" t="s">
        <v>348</v>
      </c>
      <c r="B42" s="93" t="s">
        <v>89</v>
      </c>
      <c r="C42" s="97" t="s">
        <v>116</v>
      </c>
      <c r="D42" s="82">
        <v>175354</v>
      </c>
      <c r="E42" s="85" t="s">
        <v>298</v>
      </c>
      <c r="F42" s="37"/>
      <c r="G42" s="83"/>
      <c r="H42" s="176"/>
      <c r="I42" s="46" t="s">
        <v>88</v>
      </c>
      <c r="J42" s="72" t="s">
        <v>459</v>
      </c>
      <c r="K42" s="84"/>
      <c r="L42" s="86"/>
      <c r="M42" s="86"/>
      <c r="N42" s="86"/>
      <c r="O42" s="86"/>
      <c r="P42" s="84"/>
      <c r="Q42" s="84"/>
      <c r="R42" s="84"/>
    </row>
    <row r="43" spans="1:18" ht="15.65" customHeight="1">
      <c r="B43" s="93"/>
      <c r="C43" s="103"/>
      <c r="D43" s="208"/>
      <c r="E43" s="92"/>
      <c r="F43" s="37"/>
      <c r="G43" s="83"/>
      <c r="H43" s="176"/>
      <c r="I43" s="46" t="s">
        <v>285</v>
      </c>
      <c r="J43" s="46"/>
      <c r="K43" s="84"/>
      <c r="L43" s="86"/>
      <c r="M43" s="86"/>
      <c r="N43" s="86"/>
      <c r="O43" s="86"/>
      <c r="P43" s="84"/>
      <c r="Q43" s="84"/>
      <c r="R43" s="84"/>
    </row>
    <row r="44" spans="1:18" ht="15.65" customHeight="1">
      <c r="B44" s="101"/>
      <c r="C44" s="191"/>
      <c r="D44" s="191"/>
      <c r="E44" s="71"/>
      <c r="F44" s="41"/>
      <c r="G44" s="70"/>
      <c r="H44" s="45"/>
      <c r="I44" s="46"/>
      <c r="J44" s="46"/>
      <c r="K44" s="84"/>
      <c r="L44" s="86"/>
      <c r="M44" s="86"/>
      <c r="N44" s="86"/>
      <c r="O44" s="86"/>
      <c r="P44" s="84"/>
      <c r="Q44" s="84"/>
      <c r="R44" s="84"/>
    </row>
    <row r="45" spans="1:18" ht="15.75" customHeight="1">
      <c r="B45" s="80" t="s">
        <v>300</v>
      </c>
      <c r="C45" s="211"/>
      <c r="D45" s="32"/>
      <c r="E45" s="80"/>
      <c r="F45" s="32"/>
      <c r="G45" s="32"/>
      <c r="H45" s="32"/>
      <c r="I45" s="46"/>
      <c r="J45" s="46"/>
      <c r="K45" s="84"/>
      <c r="L45" s="86"/>
      <c r="M45" s="86"/>
      <c r="N45" s="86"/>
      <c r="O45" s="86"/>
      <c r="P45" s="84"/>
      <c r="Q45" s="84"/>
      <c r="R45" s="84"/>
    </row>
    <row r="46" spans="1:18" ht="15.65" customHeight="1">
      <c r="B46" s="34" t="s">
        <v>76</v>
      </c>
      <c r="C46" s="60" t="s">
        <v>77</v>
      </c>
      <c r="D46" s="34" t="s">
        <v>78</v>
      </c>
      <c r="E46" s="43" t="s">
        <v>79</v>
      </c>
      <c r="F46" s="34" t="s">
        <v>80</v>
      </c>
      <c r="G46" s="60" t="s">
        <v>81</v>
      </c>
      <c r="H46" s="35" t="s">
        <v>100</v>
      </c>
      <c r="I46" s="46"/>
      <c r="J46" s="46"/>
      <c r="K46" s="84"/>
      <c r="L46" s="86"/>
      <c r="M46" s="86"/>
      <c r="N46" s="86"/>
      <c r="O46" s="86"/>
      <c r="P46" s="84"/>
      <c r="Q46" s="84"/>
      <c r="R46" s="84"/>
    </row>
    <row r="47" spans="1:18" ht="15.65" customHeight="1">
      <c r="A47" t="s">
        <v>251</v>
      </c>
      <c r="B47" s="93" t="s">
        <v>136</v>
      </c>
      <c r="C47" s="97" t="s">
        <v>450</v>
      </c>
      <c r="D47" s="82">
        <v>183345</v>
      </c>
      <c r="E47" s="85" t="s">
        <v>449</v>
      </c>
      <c r="F47" s="37"/>
      <c r="G47" s="83"/>
      <c r="H47" s="176"/>
      <c r="I47" s="72"/>
      <c r="J47" s="46"/>
      <c r="K47" s="84"/>
      <c r="L47" s="86"/>
      <c r="M47" s="86"/>
      <c r="N47" s="86"/>
      <c r="O47" s="86"/>
      <c r="P47" s="84"/>
      <c r="Q47" s="84"/>
      <c r="R47" s="84"/>
    </row>
    <row r="48" spans="1:18" ht="15.5">
      <c r="A48" t="s">
        <v>251</v>
      </c>
      <c r="B48" s="93" t="s">
        <v>136</v>
      </c>
      <c r="C48" s="97" t="s">
        <v>450</v>
      </c>
      <c r="D48" s="82">
        <v>5885</v>
      </c>
      <c r="E48" s="85" t="s">
        <v>175</v>
      </c>
      <c r="F48" s="37"/>
      <c r="G48" s="83"/>
      <c r="H48" s="176"/>
      <c r="I48" s="46"/>
      <c r="J48" s="46"/>
      <c r="K48" s="84"/>
      <c r="L48" s="86"/>
      <c r="M48" s="86"/>
      <c r="N48" s="86"/>
      <c r="O48" s="86"/>
      <c r="P48" s="86"/>
      <c r="Q48" s="86"/>
      <c r="R48" s="84"/>
    </row>
    <row r="49" spans="1:18" ht="15.65" customHeight="1">
      <c r="A49" t="s">
        <v>251</v>
      </c>
      <c r="B49" s="93" t="s">
        <v>136</v>
      </c>
      <c r="C49" s="97" t="s">
        <v>139</v>
      </c>
      <c r="D49" s="82">
        <v>5718</v>
      </c>
      <c r="E49" s="85" t="s">
        <v>140</v>
      </c>
      <c r="F49" s="37"/>
      <c r="G49" s="83"/>
      <c r="H49" s="176"/>
      <c r="I49" s="46"/>
      <c r="J49" s="46"/>
      <c r="K49" s="84"/>
      <c r="L49" s="86"/>
      <c r="M49" s="86"/>
      <c r="N49" s="86"/>
      <c r="O49" s="86"/>
      <c r="P49" s="86"/>
      <c r="Q49" s="86"/>
      <c r="R49" s="84"/>
    </row>
    <row r="50" spans="1:18" ht="15.65" customHeight="1">
      <c r="A50" t="s">
        <v>387</v>
      </c>
      <c r="B50" s="93" t="s">
        <v>136</v>
      </c>
      <c r="C50" s="97" t="s">
        <v>450</v>
      </c>
      <c r="D50" s="82">
        <v>138756</v>
      </c>
      <c r="E50" s="85" t="s">
        <v>451</v>
      </c>
      <c r="F50" s="37"/>
      <c r="G50" s="83"/>
      <c r="H50" s="176"/>
      <c r="I50" s="46"/>
      <c r="J50" s="46"/>
      <c r="K50" s="84"/>
      <c r="L50" s="88"/>
      <c r="M50" s="89"/>
      <c r="N50" s="89"/>
      <c r="O50" s="89"/>
      <c r="P50" s="81"/>
      <c r="Q50" s="69"/>
      <c r="R50" s="84"/>
    </row>
    <row r="51" spans="1:18" ht="15.65" customHeight="1">
      <c r="A51" t="s">
        <v>452</v>
      </c>
      <c r="B51" s="93" t="s">
        <v>136</v>
      </c>
      <c r="C51" s="97" t="s">
        <v>450</v>
      </c>
      <c r="D51" s="82">
        <v>181582</v>
      </c>
      <c r="E51" s="85" t="s">
        <v>238</v>
      </c>
      <c r="F51" s="37"/>
      <c r="G51" s="83"/>
      <c r="H51" s="176"/>
      <c r="I51" s="46"/>
      <c r="J51" s="46"/>
      <c r="K51" s="84"/>
      <c r="L51" s="90"/>
      <c r="M51" s="87"/>
      <c r="N51" s="87"/>
      <c r="O51" s="89"/>
      <c r="P51" s="81"/>
      <c r="Q51" s="59"/>
      <c r="R51" s="84"/>
    </row>
    <row r="52" spans="1:18" ht="15.65" customHeight="1">
      <c r="A52"/>
      <c r="B52" s="93" t="s">
        <v>136</v>
      </c>
      <c r="C52" s="97"/>
      <c r="D52" s="82"/>
      <c r="E52" s="85"/>
      <c r="F52" s="37"/>
      <c r="G52" s="83"/>
      <c r="H52" s="176"/>
      <c r="I52" s="46"/>
      <c r="J52" s="46"/>
      <c r="K52" s="84"/>
      <c r="L52" s="90"/>
      <c r="M52" s="87"/>
      <c r="N52" s="87"/>
      <c r="O52" s="89"/>
      <c r="P52" s="81"/>
      <c r="Q52" s="59"/>
      <c r="R52" s="84"/>
    </row>
    <row r="53" spans="1:18" ht="15" customHeight="1">
      <c r="B53" s="77"/>
      <c r="C53" s="90"/>
      <c r="D53" s="79"/>
      <c r="E53" s="71"/>
      <c r="F53" s="41"/>
      <c r="G53" s="70"/>
      <c r="H53" s="45"/>
      <c r="I53" s="46"/>
      <c r="J53" s="46"/>
      <c r="K53" s="84"/>
      <c r="L53" s="90"/>
      <c r="M53" s="87"/>
      <c r="N53" s="89"/>
      <c r="O53" s="89"/>
      <c r="P53" s="81"/>
      <c r="Q53" s="59"/>
      <c r="R53" s="84"/>
    </row>
    <row r="54" spans="1:18" ht="15.75" customHeight="1">
      <c r="B54" s="84"/>
      <c r="C54" s="216"/>
      <c r="D54" s="84"/>
      <c r="E54" s="84"/>
      <c r="F54" s="84"/>
      <c r="G54" s="84"/>
      <c r="H54" s="84"/>
      <c r="I54" s="84"/>
      <c r="J54" s="84"/>
      <c r="K54" s="84"/>
      <c r="L54" s="90"/>
      <c r="M54" s="87"/>
      <c r="N54" s="87"/>
      <c r="O54" s="89"/>
      <c r="P54" s="81"/>
      <c r="Q54" s="59"/>
      <c r="R54" s="84"/>
    </row>
    <row r="55" spans="1:18" ht="15.65" customHeight="1">
      <c r="B55" s="80" t="s">
        <v>301</v>
      </c>
      <c r="C55" s="211"/>
      <c r="D55" s="32"/>
      <c r="E55" s="80"/>
      <c r="F55" s="32"/>
      <c r="G55" s="32"/>
      <c r="H55" s="32"/>
      <c r="I55" s="46"/>
      <c r="J55" s="46"/>
      <c r="K55" s="84"/>
      <c r="L55" s="86"/>
      <c r="M55" s="86"/>
      <c r="N55" s="86"/>
      <c r="O55" s="86"/>
      <c r="P55" s="84"/>
      <c r="Q55" s="84"/>
      <c r="R55" s="84"/>
    </row>
    <row r="56" spans="1:18" ht="15.5">
      <c r="B56" s="34" t="s">
        <v>76</v>
      </c>
      <c r="C56" s="60" t="s">
        <v>77</v>
      </c>
      <c r="D56" s="34" t="s">
        <v>78</v>
      </c>
      <c r="E56" s="43" t="s">
        <v>79</v>
      </c>
      <c r="F56" s="34" t="s">
        <v>80</v>
      </c>
      <c r="G56" s="60" t="s">
        <v>81</v>
      </c>
      <c r="H56" s="35" t="s">
        <v>100</v>
      </c>
      <c r="I56" s="46"/>
      <c r="J56" s="46"/>
      <c r="K56" s="84"/>
      <c r="L56" s="90"/>
      <c r="M56" s="87"/>
      <c r="N56" s="87"/>
      <c r="O56" s="89"/>
      <c r="P56" s="84"/>
      <c r="Q56" s="84"/>
      <c r="R56" s="84"/>
    </row>
    <row r="57" spans="1:18" ht="15.65" customHeight="1">
      <c r="A57" t="s">
        <v>251</v>
      </c>
      <c r="B57" s="93" t="s">
        <v>136</v>
      </c>
      <c r="C57" s="97" t="s">
        <v>450</v>
      </c>
      <c r="D57" s="82">
        <v>183345</v>
      </c>
      <c r="E57" s="85" t="s">
        <v>449</v>
      </c>
      <c r="F57" s="37"/>
      <c r="G57" s="83"/>
      <c r="H57" s="176"/>
      <c r="I57" s="72"/>
      <c r="J57" s="46"/>
      <c r="K57" s="84"/>
      <c r="L57" s="84"/>
      <c r="M57" s="84"/>
      <c r="N57" s="84"/>
      <c r="O57" s="84"/>
      <c r="P57" s="84"/>
      <c r="Q57" s="84"/>
      <c r="R57" s="84"/>
    </row>
    <row r="58" spans="1:18" ht="15.5">
      <c r="A58" t="s">
        <v>251</v>
      </c>
      <c r="B58" s="93" t="s">
        <v>136</v>
      </c>
      <c r="C58" s="97" t="s">
        <v>450</v>
      </c>
      <c r="D58" s="82">
        <v>5885</v>
      </c>
      <c r="E58" s="85" t="s">
        <v>175</v>
      </c>
      <c r="F58" s="37"/>
      <c r="G58" s="83"/>
      <c r="H58" s="176"/>
      <c r="I58" s="46"/>
      <c r="J58" s="46"/>
      <c r="K58" s="84"/>
      <c r="L58" s="86"/>
      <c r="M58" s="86"/>
      <c r="N58" s="86"/>
      <c r="O58" s="86"/>
      <c r="P58" s="86"/>
      <c r="Q58" s="86"/>
      <c r="R58" s="84"/>
    </row>
    <row r="59" spans="1:18" ht="15.65" customHeight="1">
      <c r="A59" t="s">
        <v>251</v>
      </c>
      <c r="B59" s="93" t="s">
        <v>136</v>
      </c>
      <c r="C59" s="97" t="s">
        <v>139</v>
      </c>
      <c r="D59" s="82">
        <v>5718</v>
      </c>
      <c r="E59" s="85" t="s">
        <v>140</v>
      </c>
      <c r="F59" s="37"/>
      <c r="G59" s="83"/>
      <c r="H59" s="176"/>
      <c r="I59" s="46"/>
      <c r="J59" s="46"/>
      <c r="K59" s="84"/>
      <c r="L59" s="86"/>
      <c r="M59" s="86"/>
      <c r="N59" s="86"/>
      <c r="O59" s="86"/>
      <c r="P59" s="86"/>
      <c r="Q59" s="86"/>
      <c r="R59" s="84"/>
    </row>
    <row r="60" spans="1:18" ht="15.65" customHeight="1">
      <c r="A60" t="s">
        <v>387</v>
      </c>
      <c r="B60" s="93" t="s">
        <v>136</v>
      </c>
      <c r="C60" s="97" t="s">
        <v>450</v>
      </c>
      <c r="D60" s="82">
        <v>138756</v>
      </c>
      <c r="E60" s="85" t="s">
        <v>451</v>
      </c>
      <c r="F60" s="37"/>
      <c r="G60" s="83"/>
      <c r="H60" s="176"/>
      <c r="I60" s="46"/>
      <c r="J60" s="46"/>
      <c r="K60" s="84"/>
      <c r="L60" s="88"/>
      <c r="M60" s="89"/>
      <c r="N60" s="89"/>
      <c r="O60" s="89"/>
      <c r="P60" s="81"/>
      <c r="Q60" s="69"/>
      <c r="R60" s="84"/>
    </row>
    <row r="61" spans="1:18" ht="15.65" customHeight="1">
      <c r="A61" t="s">
        <v>452</v>
      </c>
      <c r="B61" s="93" t="s">
        <v>136</v>
      </c>
      <c r="C61" s="97" t="s">
        <v>450</v>
      </c>
      <c r="D61" s="82">
        <v>181582</v>
      </c>
      <c r="E61" s="85" t="s">
        <v>238</v>
      </c>
      <c r="F61" s="37"/>
      <c r="G61" s="83"/>
      <c r="H61" s="176"/>
      <c r="I61" s="46"/>
      <c r="J61" s="46"/>
      <c r="K61" s="84"/>
      <c r="L61" s="90"/>
      <c r="M61" s="87"/>
      <c r="N61" s="87"/>
      <c r="O61" s="89"/>
      <c r="P61" s="81"/>
      <c r="Q61" s="59"/>
      <c r="R61" s="84"/>
    </row>
    <row r="62" spans="1:18" ht="15.65" customHeight="1">
      <c r="B62" s="93" t="s">
        <v>136</v>
      </c>
      <c r="C62" s="82"/>
      <c r="D62" s="97"/>
      <c r="E62" s="85"/>
      <c r="F62" s="37"/>
      <c r="G62" s="83"/>
      <c r="H62" s="176"/>
      <c r="I62" s="46"/>
      <c r="J62" s="46"/>
      <c r="K62" s="84"/>
      <c r="L62" s="90"/>
      <c r="M62" s="87"/>
      <c r="N62" s="87"/>
      <c r="O62" s="89"/>
      <c r="P62" s="81"/>
      <c r="Q62" s="59"/>
      <c r="R62" s="84"/>
    </row>
    <row r="63" spans="1:18" ht="15" customHeight="1">
      <c r="B63" s="84"/>
      <c r="C63" s="216"/>
      <c r="D63" s="84"/>
      <c r="E63" s="84"/>
      <c r="F63" s="84"/>
      <c r="G63" s="84"/>
      <c r="H63" s="84"/>
      <c r="I63" s="84"/>
      <c r="J63" s="84"/>
      <c r="K63" s="84"/>
      <c r="L63" s="90"/>
      <c r="M63" s="87"/>
      <c r="N63" s="89"/>
      <c r="O63" s="89"/>
      <c r="P63" s="81"/>
      <c r="Q63" s="59"/>
      <c r="R63" s="84"/>
    </row>
    <row r="64" spans="1:18" ht="15.75" customHeight="1">
      <c r="B64" s="80" t="s">
        <v>302</v>
      </c>
      <c r="C64" s="211"/>
      <c r="D64" s="32"/>
      <c r="E64" s="80"/>
      <c r="F64" s="32"/>
      <c r="G64" s="32"/>
      <c r="H64" s="32"/>
      <c r="I64" s="46"/>
      <c r="J64" s="46"/>
      <c r="K64" s="84"/>
      <c r="L64" s="90"/>
      <c r="M64" s="87"/>
      <c r="N64" s="87"/>
      <c r="O64" s="89"/>
      <c r="P64" s="81"/>
      <c r="Q64" s="59"/>
      <c r="R64" s="84"/>
    </row>
    <row r="65" spans="1:18" ht="15.65" customHeight="1">
      <c r="B65" s="34" t="s">
        <v>76</v>
      </c>
      <c r="C65" s="60" t="s">
        <v>77</v>
      </c>
      <c r="D65" s="34" t="s">
        <v>78</v>
      </c>
      <c r="E65" s="43" t="s">
        <v>79</v>
      </c>
      <c r="F65" s="34" t="s">
        <v>80</v>
      </c>
      <c r="G65" s="60" t="s">
        <v>81</v>
      </c>
      <c r="H65" s="35" t="s">
        <v>100</v>
      </c>
      <c r="I65" s="46"/>
      <c r="J65" s="46"/>
      <c r="K65" s="84"/>
      <c r="L65" s="86"/>
      <c r="M65" s="86"/>
      <c r="N65" s="86"/>
      <c r="O65" s="86"/>
      <c r="P65" s="84"/>
      <c r="Q65" s="84"/>
      <c r="R65" s="84"/>
    </row>
    <row r="66" spans="1:18" ht="15.5">
      <c r="A66" t="s">
        <v>251</v>
      </c>
      <c r="B66" s="93" t="s">
        <v>136</v>
      </c>
      <c r="C66" s="97" t="s">
        <v>450</v>
      </c>
      <c r="D66" s="82">
        <v>150798</v>
      </c>
      <c r="E66" s="85" t="s">
        <v>144</v>
      </c>
      <c r="F66" s="37" t="s">
        <v>251</v>
      </c>
      <c r="G66" s="83" t="s">
        <v>450</v>
      </c>
      <c r="H66" s="176"/>
      <c r="I66" s="72"/>
      <c r="J66" s="46"/>
      <c r="K66" s="84"/>
      <c r="L66" s="84"/>
      <c r="M66" s="84"/>
      <c r="N66" s="84"/>
      <c r="O66" s="84"/>
      <c r="P66" s="84"/>
      <c r="Q66" s="84"/>
      <c r="R66" s="84"/>
    </row>
    <row r="67" spans="1:18" ht="15.65" customHeight="1">
      <c r="A67" t="s">
        <v>251</v>
      </c>
      <c r="B67" s="93" t="s">
        <v>136</v>
      </c>
      <c r="C67" s="97" t="s">
        <v>450</v>
      </c>
      <c r="D67" s="82">
        <v>5343</v>
      </c>
      <c r="E67" s="85" t="s">
        <v>173</v>
      </c>
      <c r="F67" s="37" t="s">
        <v>251</v>
      </c>
      <c r="G67" s="83" t="s">
        <v>450</v>
      </c>
      <c r="H67" s="176"/>
      <c r="I67" s="46"/>
      <c r="J67" s="46"/>
      <c r="K67" s="84"/>
      <c r="L67" s="86"/>
      <c r="M67" s="86"/>
      <c r="N67" s="86"/>
      <c r="O67" s="86"/>
      <c r="P67" s="86"/>
      <c r="Q67" s="86"/>
      <c r="R67" s="84"/>
    </row>
    <row r="68" spans="1:18" ht="15.5">
      <c r="A68" t="s">
        <v>251</v>
      </c>
      <c r="B68" s="93" t="s">
        <v>136</v>
      </c>
      <c r="C68" s="97" t="s">
        <v>450</v>
      </c>
      <c r="D68" s="82">
        <v>5747</v>
      </c>
      <c r="E68" s="85" t="s">
        <v>453</v>
      </c>
      <c r="F68" s="37" t="s">
        <v>251</v>
      </c>
      <c r="G68" s="83" t="s">
        <v>450</v>
      </c>
      <c r="H68" s="176"/>
      <c r="I68" s="46"/>
      <c r="J68" s="46"/>
      <c r="K68" s="84"/>
      <c r="L68" s="86"/>
      <c r="M68" s="86"/>
      <c r="N68" s="86"/>
      <c r="O68" s="86"/>
      <c r="P68" s="86"/>
      <c r="Q68" s="86"/>
      <c r="R68" s="84"/>
    </row>
    <row r="69" spans="1:18" ht="15.65" customHeight="1">
      <c r="A69" t="s">
        <v>452</v>
      </c>
      <c r="B69" s="93" t="s">
        <v>136</v>
      </c>
      <c r="C69" s="97" t="s">
        <v>450</v>
      </c>
      <c r="D69" s="82">
        <v>173715</v>
      </c>
      <c r="E69" s="85" t="s">
        <v>454</v>
      </c>
      <c r="F69" s="37" t="s">
        <v>452</v>
      </c>
      <c r="G69" s="83" t="s">
        <v>450</v>
      </c>
      <c r="H69" s="176"/>
      <c r="I69" s="46"/>
      <c r="J69" s="46"/>
      <c r="K69" s="84"/>
      <c r="L69" s="88"/>
      <c r="M69" s="89"/>
      <c r="N69" s="89"/>
      <c r="O69" s="89"/>
      <c r="P69" s="81"/>
      <c r="Q69" s="69"/>
      <c r="R69" s="84"/>
    </row>
    <row r="70" spans="1:18" ht="15.65" customHeight="1">
      <c r="A70" t="s">
        <v>251</v>
      </c>
      <c r="B70" s="93" t="s">
        <v>136</v>
      </c>
      <c r="C70" s="97" t="s">
        <v>137</v>
      </c>
      <c r="D70" s="82">
        <v>141553</v>
      </c>
      <c r="E70" s="85" t="s">
        <v>455</v>
      </c>
      <c r="F70" s="37" t="s">
        <v>251</v>
      </c>
      <c r="G70" s="83" t="s">
        <v>137</v>
      </c>
      <c r="H70" s="176"/>
      <c r="I70" s="46"/>
      <c r="J70" s="46"/>
      <c r="K70" s="84"/>
      <c r="L70" s="90"/>
      <c r="M70" s="87"/>
      <c r="N70" s="87"/>
      <c r="O70" s="89"/>
      <c r="P70" s="81"/>
      <c r="Q70" s="59"/>
      <c r="R70" s="84"/>
    </row>
    <row r="71" spans="1:18" ht="15.65" customHeight="1">
      <c r="B71" s="93" t="s">
        <v>136</v>
      </c>
      <c r="C71" s="97"/>
      <c r="D71" s="82"/>
      <c r="E71" s="85"/>
      <c r="F71" s="37"/>
      <c r="G71" s="83"/>
      <c r="H71" s="176"/>
      <c r="I71" s="46"/>
      <c r="J71" s="46"/>
      <c r="K71" s="84"/>
      <c r="L71" s="90"/>
      <c r="M71" s="87"/>
      <c r="N71" s="87"/>
      <c r="O71" s="89"/>
      <c r="P71" s="81"/>
      <c r="Q71" s="59"/>
      <c r="R71" s="84"/>
    </row>
    <row r="72" spans="1:18" ht="15.65" customHeight="1">
      <c r="B72" s="77"/>
      <c r="C72" s="90"/>
      <c r="D72" s="79"/>
      <c r="E72" s="71"/>
      <c r="F72" s="41"/>
      <c r="G72" s="70"/>
      <c r="H72" s="45"/>
      <c r="I72" s="46"/>
      <c r="J72" s="46"/>
      <c r="K72" s="84"/>
      <c r="L72" s="90"/>
      <c r="M72" s="87"/>
      <c r="N72" s="89"/>
      <c r="O72" s="89"/>
      <c r="P72" s="81"/>
      <c r="Q72" s="59"/>
      <c r="R72" s="84"/>
    </row>
    <row r="73" spans="1:18" ht="15" customHeight="1">
      <c r="B73" s="84"/>
      <c r="C73" s="216"/>
      <c r="D73" s="84"/>
      <c r="E73" s="84"/>
      <c r="F73" s="84"/>
      <c r="G73" s="84"/>
      <c r="H73" s="84"/>
      <c r="I73" s="84"/>
      <c r="J73" s="84"/>
      <c r="K73" s="84"/>
      <c r="L73" s="90"/>
      <c r="M73" s="87"/>
      <c r="N73" s="87"/>
      <c r="O73" s="89"/>
      <c r="P73" s="81"/>
      <c r="Q73" s="59"/>
      <c r="R73" s="84"/>
    </row>
    <row r="74" spans="1:18" ht="15.75" customHeight="1">
      <c r="B74" s="80" t="s">
        <v>303</v>
      </c>
      <c r="C74" s="211"/>
      <c r="D74" s="32"/>
      <c r="E74" s="80"/>
      <c r="F74" s="32"/>
      <c r="G74" s="32"/>
      <c r="H74" s="32"/>
      <c r="I74" s="46"/>
      <c r="J74" s="46"/>
      <c r="K74" s="84"/>
      <c r="L74" s="86"/>
      <c r="M74" s="86"/>
      <c r="N74" s="86"/>
      <c r="O74" s="86"/>
      <c r="P74" s="84"/>
      <c r="Q74" s="84"/>
      <c r="R74" s="84"/>
    </row>
    <row r="75" spans="1:18" ht="14.75" customHeight="1">
      <c r="B75" s="34" t="s">
        <v>76</v>
      </c>
      <c r="C75" s="60" t="s">
        <v>77</v>
      </c>
      <c r="D75" s="34" t="s">
        <v>78</v>
      </c>
      <c r="E75" s="43" t="s">
        <v>79</v>
      </c>
      <c r="F75" s="34" t="s">
        <v>80</v>
      </c>
      <c r="G75" s="60" t="s">
        <v>81</v>
      </c>
      <c r="H75" s="35" t="s">
        <v>100</v>
      </c>
      <c r="I75" s="46"/>
      <c r="J75" s="46"/>
      <c r="K75" s="84"/>
      <c r="L75" s="90"/>
      <c r="M75" s="87"/>
      <c r="N75" s="87"/>
      <c r="O75" s="89"/>
      <c r="P75" s="84"/>
      <c r="Q75" s="84"/>
      <c r="R75" s="84"/>
    </row>
    <row r="76" spans="1:18" ht="15.5">
      <c r="A76" t="s">
        <v>251</v>
      </c>
      <c r="B76" s="93" t="s">
        <v>136</v>
      </c>
      <c r="C76" s="97" t="s">
        <v>450</v>
      </c>
      <c r="D76" s="82">
        <v>150798</v>
      </c>
      <c r="E76" s="85" t="s">
        <v>144</v>
      </c>
      <c r="F76" s="37" t="s">
        <v>251</v>
      </c>
      <c r="G76" s="83" t="s">
        <v>450</v>
      </c>
      <c r="H76" s="176"/>
      <c r="I76" s="72"/>
      <c r="J76" s="46"/>
      <c r="K76" s="84"/>
      <c r="L76" s="84"/>
      <c r="M76" s="84"/>
      <c r="N76" s="84"/>
      <c r="O76" s="84"/>
      <c r="P76" s="84"/>
      <c r="Q76" s="84"/>
      <c r="R76" s="84"/>
    </row>
    <row r="77" spans="1:18" ht="15.65" customHeight="1">
      <c r="A77" t="s">
        <v>251</v>
      </c>
      <c r="B77" s="93" t="s">
        <v>136</v>
      </c>
      <c r="C77" s="97" t="s">
        <v>450</v>
      </c>
      <c r="D77" s="82">
        <v>5343</v>
      </c>
      <c r="E77" s="85" t="s">
        <v>173</v>
      </c>
      <c r="F77" s="37" t="s">
        <v>251</v>
      </c>
      <c r="G77" s="83" t="s">
        <v>450</v>
      </c>
      <c r="H77" s="176"/>
      <c r="I77" s="46"/>
      <c r="J77" s="46"/>
      <c r="K77" s="84"/>
      <c r="L77" s="86"/>
      <c r="M77" s="86"/>
      <c r="N77" s="86"/>
      <c r="O77" s="86"/>
      <c r="P77" s="86"/>
      <c r="Q77" s="86"/>
      <c r="R77" s="84"/>
    </row>
    <row r="78" spans="1:18" ht="15.5">
      <c r="A78" t="s">
        <v>251</v>
      </c>
      <c r="B78" s="93" t="s">
        <v>136</v>
      </c>
      <c r="C78" s="97" t="s">
        <v>450</v>
      </c>
      <c r="D78" s="82">
        <v>5747</v>
      </c>
      <c r="E78" s="85" t="s">
        <v>453</v>
      </c>
      <c r="F78" s="37" t="s">
        <v>251</v>
      </c>
      <c r="G78" s="83" t="s">
        <v>450</v>
      </c>
      <c r="H78" s="176"/>
      <c r="I78" s="46"/>
      <c r="J78" s="46"/>
      <c r="K78" s="84"/>
      <c r="L78" s="86"/>
      <c r="M78" s="86"/>
      <c r="N78" s="86"/>
      <c r="O78" s="86"/>
      <c r="P78" s="86"/>
      <c r="Q78" s="86"/>
      <c r="R78" s="84"/>
    </row>
    <row r="79" spans="1:18" ht="15.65" customHeight="1">
      <c r="A79" t="s">
        <v>452</v>
      </c>
      <c r="B79" s="93" t="s">
        <v>136</v>
      </c>
      <c r="C79" s="97" t="s">
        <v>450</v>
      </c>
      <c r="D79" s="82">
        <v>173715</v>
      </c>
      <c r="E79" s="85" t="s">
        <v>454</v>
      </c>
      <c r="F79" s="37" t="s">
        <v>452</v>
      </c>
      <c r="G79" s="83" t="s">
        <v>450</v>
      </c>
      <c r="H79" s="176"/>
      <c r="I79" s="46"/>
      <c r="J79" s="46"/>
      <c r="K79" s="84"/>
      <c r="L79" s="88"/>
      <c r="M79" s="89"/>
      <c r="N79" s="89"/>
      <c r="O79" s="89"/>
      <c r="P79" s="81"/>
      <c r="Q79" s="69"/>
      <c r="R79" s="84"/>
    </row>
    <row r="80" spans="1:18" ht="15.65" customHeight="1">
      <c r="A80" t="s">
        <v>251</v>
      </c>
      <c r="B80" s="93" t="s">
        <v>136</v>
      </c>
      <c r="C80" s="97" t="s">
        <v>137</v>
      </c>
      <c r="D80" s="82">
        <v>141553</v>
      </c>
      <c r="E80" s="85" t="s">
        <v>455</v>
      </c>
      <c r="F80" s="37" t="s">
        <v>251</v>
      </c>
      <c r="G80" s="83" t="s">
        <v>137</v>
      </c>
      <c r="H80" s="176"/>
      <c r="I80" s="46"/>
      <c r="J80" s="46"/>
      <c r="K80" s="84"/>
      <c r="L80" s="90"/>
      <c r="M80" s="87"/>
      <c r="N80" s="87"/>
      <c r="O80" s="89"/>
      <c r="P80" s="81"/>
      <c r="Q80" s="59"/>
      <c r="R80" s="84"/>
    </row>
    <row r="81" spans="2:18" ht="15.65" customHeight="1">
      <c r="B81" s="93" t="s">
        <v>136</v>
      </c>
      <c r="C81" s="82"/>
      <c r="D81" s="97"/>
      <c r="E81" s="85"/>
      <c r="F81" s="37"/>
      <c r="G81" s="83"/>
      <c r="H81" s="176"/>
      <c r="I81" s="46"/>
      <c r="J81" s="46"/>
      <c r="K81" s="84"/>
      <c r="L81" s="90"/>
      <c r="M81" s="87"/>
      <c r="N81" s="87"/>
      <c r="O81" s="89"/>
      <c r="P81" s="81"/>
      <c r="Q81" s="59"/>
      <c r="R81" s="84"/>
    </row>
    <row r="82" spans="2:18" ht="15.65" customHeight="1">
      <c r="K82" s="84"/>
      <c r="L82" s="90"/>
      <c r="M82" s="87"/>
      <c r="N82" s="89"/>
      <c r="O82" s="89"/>
      <c r="P82" s="81"/>
      <c r="Q82" s="59"/>
      <c r="R82" s="84"/>
    </row>
    <row r="83" spans="2:18" ht="15" customHeight="1">
      <c r="K83" s="84"/>
      <c r="L83" s="90"/>
      <c r="M83" s="87"/>
      <c r="N83" s="87"/>
      <c r="O83" s="89"/>
      <c r="P83" s="81"/>
      <c r="Q83" s="59"/>
      <c r="R83" s="84"/>
    </row>
    <row r="84" spans="2:18" ht="15.75" customHeight="1">
      <c r="K84" s="84"/>
      <c r="L84" s="86"/>
      <c r="M84" s="86"/>
      <c r="N84" s="86"/>
      <c r="O84" s="86"/>
      <c r="P84" s="84"/>
      <c r="Q84" s="84"/>
      <c r="R84" s="84"/>
    </row>
  </sheetData>
  <autoFilter ref="A1:J11" xr:uid="{00000000-0001-0000-0B00-000000000000}"/>
  <pageMargins left="0.7" right="0.7" top="0.75" bottom="0.75" header="0.3" footer="0.3"/>
  <pageSetup paperSize="9" scale="84" orientation="landscape" r:id="rId1"/>
  <headerFooter>
    <oddFooter>&amp;C_x000D_&amp;1#&amp;"Calibri"&amp;10&amp;K000000 Restricted : General Al-Futtaim Group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51"/>
  <sheetViews>
    <sheetView zoomScale="70" zoomScaleNormal="70" workbookViewId="0">
      <selection activeCell="D32" sqref="D32:D34"/>
    </sheetView>
  </sheetViews>
  <sheetFormatPr defaultColWidth="8.54296875" defaultRowHeight="14.5"/>
  <cols>
    <col min="1" max="1" width="16.36328125" style="64" customWidth="1"/>
    <col min="2" max="2" width="14.6328125" style="64" customWidth="1"/>
    <col min="3" max="3" width="16.6328125" style="64" customWidth="1"/>
    <col min="4" max="4" width="51" style="64" customWidth="1"/>
    <col min="5" max="5" width="14.54296875" style="64" customWidth="1"/>
    <col min="6" max="6" width="25.6328125" style="64" bestFit="1" customWidth="1"/>
    <col min="7" max="7" width="20.08984375" style="64" bestFit="1" customWidth="1"/>
    <col min="8" max="8" width="14.6328125" style="64" bestFit="1" customWidth="1"/>
    <col min="9" max="16384" width="8.54296875" style="64"/>
  </cols>
  <sheetData>
    <row r="1" spans="1:9" ht="15.65" customHeight="1">
      <c r="A1" s="80" t="s">
        <v>315</v>
      </c>
      <c r="B1" s="32"/>
      <c r="C1" s="32"/>
      <c r="D1" s="80"/>
      <c r="E1" s="32"/>
      <c r="F1" s="32"/>
      <c r="G1" s="32"/>
      <c r="H1" s="46"/>
      <c r="I1" s="84"/>
    </row>
    <row r="2" spans="1:9" ht="15.5">
      <c r="A2" s="34" t="s">
        <v>76</v>
      </c>
      <c r="B2" s="34" t="s">
        <v>77</v>
      </c>
      <c r="C2" s="34" t="s">
        <v>78</v>
      </c>
      <c r="D2" s="43" t="s">
        <v>79</v>
      </c>
      <c r="E2" s="34" t="s">
        <v>80</v>
      </c>
      <c r="F2" s="60" t="s">
        <v>81</v>
      </c>
      <c r="G2" s="35" t="s">
        <v>100</v>
      </c>
      <c r="H2" s="46"/>
      <c r="I2" s="84"/>
    </row>
    <row r="3" spans="1:9" ht="15.65" customHeight="1">
      <c r="A3" s="226" t="s">
        <v>325</v>
      </c>
      <c r="B3" s="94" t="s">
        <v>326</v>
      </c>
      <c r="C3" s="94">
        <v>181233</v>
      </c>
      <c r="D3" s="95" t="s">
        <v>327</v>
      </c>
      <c r="E3" s="36" t="s">
        <v>200</v>
      </c>
      <c r="F3" s="225" t="s">
        <v>328</v>
      </c>
      <c r="G3" s="176"/>
      <c r="H3" s="72"/>
      <c r="I3" s="84"/>
    </row>
    <row r="4" spans="1:9" ht="15.65" customHeight="1">
      <c r="A4" s="93"/>
      <c r="B4" s="94"/>
      <c r="C4" s="94"/>
      <c r="D4" s="95"/>
      <c r="E4" s="36"/>
      <c r="F4" s="61"/>
      <c r="G4" s="176"/>
      <c r="H4" s="46"/>
      <c r="I4" s="84"/>
    </row>
    <row r="5" spans="1:9" ht="15.65" customHeight="1">
      <c r="A5" s="93"/>
      <c r="B5" s="94"/>
      <c r="C5" s="94"/>
      <c r="D5" s="95"/>
      <c r="E5" s="36"/>
      <c r="F5" s="61"/>
      <c r="G5" s="176"/>
      <c r="H5" s="46"/>
      <c r="I5" s="84"/>
    </row>
    <row r="6" spans="1:9" ht="15.65" customHeight="1">
      <c r="A6" s="93"/>
      <c r="B6" s="94"/>
      <c r="C6" s="94"/>
      <c r="D6" s="95"/>
      <c r="E6" s="36"/>
      <c r="F6" s="61"/>
      <c r="G6" s="176"/>
      <c r="H6" s="46"/>
      <c r="I6" s="84"/>
    </row>
    <row r="7" spans="1:9" ht="15" customHeight="1">
      <c r="A7" s="93"/>
      <c r="B7" s="96"/>
      <c r="C7" s="96"/>
      <c r="D7" s="85"/>
      <c r="E7" s="37"/>
      <c r="F7" s="83"/>
      <c r="G7" s="176"/>
      <c r="H7" s="46"/>
      <c r="I7" s="84"/>
    </row>
    <row r="8" spans="1:9" ht="15.75" customHeight="1">
      <c r="A8" s="93"/>
      <c r="B8" s="97"/>
      <c r="C8" s="97"/>
      <c r="D8" s="85"/>
      <c r="E8" s="37"/>
      <c r="F8" s="83"/>
      <c r="G8" s="176"/>
      <c r="H8" s="46"/>
      <c r="I8" s="84"/>
    </row>
    <row r="10" spans="1:9" ht="15.75" customHeight="1">
      <c r="A10" s="101"/>
      <c r="B10" s="33"/>
      <c r="C10" s="33"/>
      <c r="D10" s="202"/>
      <c r="E10" s="41"/>
      <c r="F10" s="70"/>
      <c r="G10" s="45"/>
      <c r="H10" s="46"/>
      <c r="I10" s="84"/>
    </row>
    <row r="11" spans="1:9" ht="15.65" customHeight="1">
      <c r="A11" s="80" t="s">
        <v>415</v>
      </c>
      <c r="B11" s="32"/>
      <c r="C11" s="32"/>
      <c r="D11" s="80"/>
      <c r="E11" s="32"/>
      <c r="F11" s="32"/>
      <c r="G11" s="32"/>
      <c r="H11" s="46"/>
      <c r="I11" s="84"/>
    </row>
    <row r="12" spans="1:9" ht="15.5">
      <c r="A12" s="34" t="s">
        <v>76</v>
      </c>
      <c r="B12" s="34" t="s">
        <v>77</v>
      </c>
      <c r="C12" s="34" t="s">
        <v>78</v>
      </c>
      <c r="D12" s="34" t="s">
        <v>79</v>
      </c>
      <c r="E12" s="34" t="s">
        <v>80</v>
      </c>
      <c r="F12" s="60" t="s">
        <v>81</v>
      </c>
      <c r="G12" s="35" t="s">
        <v>100</v>
      </c>
      <c r="H12" s="46"/>
      <c r="I12" s="84"/>
    </row>
    <row r="13" spans="1:9" ht="15.65" customHeight="1">
      <c r="A13" s="93" t="s">
        <v>290</v>
      </c>
      <c r="B13" s="199" t="s">
        <v>395</v>
      </c>
      <c r="C13" s="199">
        <v>184131</v>
      </c>
      <c r="D13" s="199" t="s">
        <v>397</v>
      </c>
      <c r="E13" s="108" t="s">
        <v>321</v>
      </c>
      <c r="F13" s="199" t="s">
        <v>402</v>
      </c>
      <c r="G13" s="108"/>
      <c r="H13" s="46"/>
      <c r="I13" s="84"/>
    </row>
    <row r="14" spans="1:9" ht="15" customHeight="1">
      <c r="A14" s="93" t="s">
        <v>290</v>
      </c>
      <c r="B14" s="199" t="s">
        <v>395</v>
      </c>
      <c r="C14" s="199">
        <v>159000</v>
      </c>
      <c r="D14" s="199" t="s">
        <v>398</v>
      </c>
      <c r="E14" s="108" t="s">
        <v>321</v>
      </c>
      <c r="F14" s="199" t="s">
        <v>400</v>
      </c>
      <c r="G14" s="108"/>
      <c r="H14" s="46"/>
      <c r="I14" s="84"/>
    </row>
    <row r="15" spans="1:9" ht="15.75" customHeight="1">
      <c r="A15" s="93" t="s">
        <v>290</v>
      </c>
      <c r="B15" s="199" t="s">
        <v>395</v>
      </c>
      <c r="C15" s="199">
        <v>183858</v>
      </c>
      <c r="D15" s="199" t="s">
        <v>399</v>
      </c>
      <c r="E15" s="108" t="s">
        <v>321</v>
      </c>
      <c r="F15" s="199" t="s">
        <v>401</v>
      </c>
      <c r="G15" s="108"/>
      <c r="H15" s="46"/>
      <c r="I15" s="84"/>
    </row>
    <row r="18" spans="1:9" ht="15.65" customHeight="1">
      <c r="A18" s="80" t="s">
        <v>374</v>
      </c>
      <c r="B18" s="32"/>
      <c r="C18" s="32"/>
      <c r="D18" s="80"/>
      <c r="E18" s="32"/>
      <c r="F18" s="32"/>
      <c r="G18" s="32"/>
      <c r="H18" s="46"/>
      <c r="I18" s="84"/>
    </row>
    <row r="19" spans="1:9" ht="15.65" customHeight="1">
      <c r="A19" s="93" t="s">
        <v>290</v>
      </c>
      <c r="B19" s="94" t="s">
        <v>251</v>
      </c>
      <c r="C19" s="94">
        <v>156227</v>
      </c>
      <c r="D19" s="288" t="s">
        <v>320</v>
      </c>
      <c r="E19" s="108" t="s">
        <v>321</v>
      </c>
      <c r="F19" s="289" t="s">
        <v>191</v>
      </c>
      <c r="G19" s="108"/>
      <c r="H19" s="72"/>
      <c r="I19" s="84"/>
    </row>
    <row r="20" spans="1:9" ht="15.65" customHeight="1">
      <c r="A20" s="93" t="s">
        <v>290</v>
      </c>
      <c r="B20" s="94" t="s">
        <v>251</v>
      </c>
      <c r="C20" s="94">
        <v>181231</v>
      </c>
      <c r="D20" s="288" t="s">
        <v>322</v>
      </c>
      <c r="E20" s="108" t="s">
        <v>321</v>
      </c>
      <c r="F20" s="289" t="s">
        <v>194</v>
      </c>
      <c r="G20" s="108"/>
      <c r="H20" s="46"/>
      <c r="I20" s="84"/>
    </row>
    <row r="21" spans="1:9" ht="15.65" customHeight="1">
      <c r="A21" s="93" t="s">
        <v>290</v>
      </c>
      <c r="B21" s="94" t="s">
        <v>387</v>
      </c>
      <c r="C21" s="94">
        <v>184530</v>
      </c>
      <c r="D21" s="199" t="s">
        <v>388</v>
      </c>
      <c r="E21" s="108" t="s">
        <v>321</v>
      </c>
      <c r="F21" s="199" t="s">
        <v>386</v>
      </c>
      <c r="G21" s="108"/>
      <c r="H21" s="46"/>
      <c r="I21" s="84"/>
    </row>
    <row r="22" spans="1:9" ht="15.65" customHeight="1">
      <c r="A22" s="93" t="s">
        <v>290</v>
      </c>
      <c r="B22" s="199" t="s">
        <v>317</v>
      </c>
      <c r="C22" s="290">
        <v>149915</v>
      </c>
      <c r="D22" s="291" t="s">
        <v>403</v>
      </c>
      <c r="E22" s="291" t="s">
        <v>413</v>
      </c>
      <c r="F22" s="291" t="s">
        <v>188</v>
      </c>
      <c r="G22" s="199"/>
      <c r="H22" s="46" t="s">
        <v>411</v>
      </c>
      <c r="I22" s="84"/>
    </row>
    <row r="23" spans="1:9" ht="15" customHeight="1" thickBot="1">
      <c r="A23" s="93" t="s">
        <v>290</v>
      </c>
      <c r="B23" s="199" t="s">
        <v>395</v>
      </c>
      <c r="C23" s="292">
        <v>184966</v>
      </c>
      <c r="D23" s="199" t="s">
        <v>393</v>
      </c>
      <c r="E23" s="108" t="s">
        <v>321</v>
      </c>
      <c r="F23" s="214" t="s">
        <v>464</v>
      </c>
      <c r="G23" s="199" t="s">
        <v>394</v>
      </c>
      <c r="H23" s="46"/>
      <c r="I23" s="84"/>
    </row>
    <row r="24" spans="1:9" ht="15.75" customHeight="1">
      <c r="A24" s="93" t="s">
        <v>290</v>
      </c>
      <c r="B24" s="199" t="s">
        <v>395</v>
      </c>
      <c r="C24" s="290">
        <v>184131</v>
      </c>
      <c r="D24" s="291" t="s">
        <v>397</v>
      </c>
      <c r="E24" s="108" t="s">
        <v>321</v>
      </c>
      <c r="F24" s="291" t="s">
        <v>402</v>
      </c>
      <c r="G24" s="282"/>
      <c r="H24" s="46"/>
      <c r="I24" s="84"/>
    </row>
    <row r="25" spans="1:9">
      <c r="A25" s="84"/>
      <c r="B25" s="84"/>
      <c r="C25" s="84"/>
      <c r="D25" s="84"/>
      <c r="E25" s="84"/>
      <c r="F25" s="84"/>
      <c r="G25" s="84"/>
      <c r="H25" s="84"/>
      <c r="I25" s="84"/>
    </row>
    <row r="26" spans="1:9">
      <c r="A26" s="84"/>
      <c r="B26" s="84"/>
      <c r="C26" s="84"/>
      <c r="D26" s="84"/>
      <c r="E26" s="84"/>
      <c r="F26" s="84"/>
      <c r="G26" s="84"/>
      <c r="H26" s="84"/>
      <c r="I26" s="84"/>
    </row>
    <row r="27" spans="1:9" ht="15.65" customHeight="1">
      <c r="A27" s="80" t="s">
        <v>409</v>
      </c>
      <c r="B27" s="32"/>
      <c r="C27" s="32"/>
      <c r="D27" s="80"/>
      <c r="E27" s="32"/>
      <c r="F27" s="32"/>
      <c r="G27" s="32"/>
      <c r="H27" s="46"/>
      <c r="I27" s="84"/>
    </row>
    <row r="28" spans="1:9" ht="15.5">
      <c r="A28" s="34" t="s">
        <v>76</v>
      </c>
      <c r="B28" s="34" t="s">
        <v>77</v>
      </c>
      <c r="C28" s="34" t="s">
        <v>78</v>
      </c>
      <c r="D28" s="34" t="s">
        <v>79</v>
      </c>
      <c r="E28" s="34" t="s">
        <v>80</v>
      </c>
      <c r="F28" s="60" t="s">
        <v>81</v>
      </c>
      <c r="G28" s="35" t="s">
        <v>100</v>
      </c>
      <c r="H28" s="46"/>
      <c r="I28" s="84"/>
    </row>
    <row r="29" spans="1:9" ht="15.65" customHeight="1">
      <c r="A29" s="293" t="s">
        <v>290</v>
      </c>
      <c r="B29" s="94" t="s">
        <v>323</v>
      </c>
      <c r="C29" s="294">
        <v>171185</v>
      </c>
      <c r="D29" s="294" t="s">
        <v>324</v>
      </c>
      <c r="E29" s="108" t="s">
        <v>321</v>
      </c>
      <c r="F29" s="289" t="s">
        <v>390</v>
      </c>
      <c r="G29" s="108"/>
      <c r="H29" s="72" t="s">
        <v>412</v>
      </c>
      <c r="I29" s="84"/>
    </row>
    <row r="30" spans="1:9" ht="15.65" customHeight="1">
      <c r="A30" s="293" t="s">
        <v>290</v>
      </c>
      <c r="B30" s="94" t="s">
        <v>251</v>
      </c>
      <c r="C30" s="94">
        <v>177952</v>
      </c>
      <c r="D30" s="288" t="s">
        <v>85</v>
      </c>
      <c r="E30" s="108" t="s">
        <v>321</v>
      </c>
      <c r="F30" s="289" t="s">
        <v>87</v>
      </c>
      <c r="G30" s="108"/>
      <c r="H30" s="46" t="s">
        <v>414</v>
      </c>
      <c r="I30" s="84"/>
    </row>
    <row r="31" spans="1:9" ht="15.65" customHeight="1">
      <c r="A31" s="293" t="s">
        <v>290</v>
      </c>
      <c r="B31" s="94" t="s">
        <v>251</v>
      </c>
      <c r="C31" s="94">
        <v>184374</v>
      </c>
      <c r="D31" s="288" t="s">
        <v>392</v>
      </c>
      <c r="E31" s="108" t="s">
        <v>321</v>
      </c>
      <c r="F31" s="289" t="s">
        <v>396</v>
      </c>
      <c r="G31" s="108"/>
      <c r="H31" s="46"/>
      <c r="I31" s="84"/>
    </row>
    <row r="32" spans="1:9" ht="15.65" customHeight="1">
      <c r="A32" s="293" t="s">
        <v>290</v>
      </c>
      <c r="B32" s="199" t="s">
        <v>395</v>
      </c>
      <c r="C32" s="199">
        <v>159000</v>
      </c>
      <c r="D32" s="199" t="s">
        <v>398</v>
      </c>
      <c r="E32" s="108" t="s">
        <v>321</v>
      </c>
      <c r="F32" s="199" t="s">
        <v>400</v>
      </c>
      <c r="G32" s="108"/>
      <c r="H32" s="46"/>
      <c r="I32" s="84"/>
    </row>
    <row r="33" spans="1:9" ht="15" customHeight="1">
      <c r="A33" s="293" t="s">
        <v>290</v>
      </c>
      <c r="B33" s="199" t="s">
        <v>395</v>
      </c>
      <c r="C33" s="199">
        <v>183858</v>
      </c>
      <c r="D33" s="199" t="s">
        <v>399</v>
      </c>
      <c r="E33" s="108" t="s">
        <v>321</v>
      </c>
      <c r="F33" s="199" t="s">
        <v>401</v>
      </c>
      <c r="G33" s="108"/>
      <c r="H33" s="46"/>
      <c r="I33" s="84"/>
    </row>
    <row r="34" spans="1:9" ht="15.75" customHeight="1">
      <c r="A34" s="293" t="s">
        <v>290</v>
      </c>
      <c r="B34" s="295"/>
      <c r="C34" s="295"/>
      <c r="D34" s="296"/>
      <c r="E34" s="108"/>
      <c r="F34" s="297"/>
      <c r="G34" s="108"/>
      <c r="H34" s="46"/>
      <c r="I34" s="84"/>
    </row>
    <row r="35" spans="1:9">
      <c r="A35" s="84"/>
      <c r="B35" s="298"/>
      <c r="C35" s="298"/>
      <c r="D35" s="298"/>
      <c r="E35" s="298"/>
      <c r="F35" s="298"/>
      <c r="G35" s="298"/>
      <c r="H35" s="84"/>
      <c r="I35" s="84"/>
    </row>
    <row r="36" spans="1:9" ht="15.65" customHeight="1">
      <c r="A36" s="80" t="s">
        <v>410</v>
      </c>
      <c r="B36" s="32"/>
      <c r="C36" s="32"/>
      <c r="D36" s="80"/>
      <c r="E36" s="32"/>
      <c r="F36" s="32"/>
      <c r="G36" s="32"/>
      <c r="H36" s="46"/>
      <c r="I36" s="84"/>
    </row>
    <row r="37" spans="1:9" ht="15.5">
      <c r="A37" s="34" t="s">
        <v>76</v>
      </c>
      <c r="B37" s="34" t="s">
        <v>77</v>
      </c>
      <c r="C37" s="34" t="s">
        <v>78</v>
      </c>
      <c r="D37" s="34" t="s">
        <v>79</v>
      </c>
      <c r="E37" s="34" t="s">
        <v>80</v>
      </c>
      <c r="F37" s="60" t="s">
        <v>81</v>
      </c>
      <c r="G37" s="35" t="s">
        <v>100</v>
      </c>
      <c r="H37" s="46"/>
      <c r="I37" s="84"/>
    </row>
    <row r="38" spans="1:9" ht="15.65" customHeight="1">
      <c r="A38" s="93" t="s">
        <v>290</v>
      </c>
      <c r="B38" s="94" t="s">
        <v>251</v>
      </c>
      <c r="C38" s="94">
        <v>156227</v>
      </c>
      <c r="D38" s="288" t="s">
        <v>320</v>
      </c>
      <c r="E38" s="108" t="s">
        <v>321</v>
      </c>
      <c r="F38" s="289" t="s">
        <v>191</v>
      </c>
      <c r="G38" s="108"/>
      <c r="H38" s="72"/>
      <c r="I38" s="84"/>
    </row>
    <row r="39" spans="1:9" ht="15.65" customHeight="1">
      <c r="A39" s="93" t="s">
        <v>290</v>
      </c>
      <c r="B39" s="94" t="s">
        <v>251</v>
      </c>
      <c r="C39" s="94">
        <v>181231</v>
      </c>
      <c r="D39" s="288" t="s">
        <v>322</v>
      </c>
      <c r="E39" s="108" t="s">
        <v>321</v>
      </c>
      <c r="F39" s="289" t="s">
        <v>194</v>
      </c>
      <c r="G39" s="108"/>
      <c r="H39" s="46"/>
      <c r="I39" s="84"/>
    </row>
    <row r="40" spans="1:9" ht="15.65" customHeight="1">
      <c r="A40" s="93" t="s">
        <v>290</v>
      </c>
      <c r="B40" s="94" t="s">
        <v>387</v>
      </c>
      <c r="C40" s="94">
        <v>184530</v>
      </c>
      <c r="D40" s="199" t="s">
        <v>388</v>
      </c>
      <c r="E40" s="108" t="s">
        <v>321</v>
      </c>
      <c r="F40" s="199" t="s">
        <v>386</v>
      </c>
      <c r="G40" s="108"/>
      <c r="H40" s="46"/>
      <c r="I40" s="84"/>
    </row>
    <row r="41" spans="1:9" ht="15.65" customHeight="1">
      <c r="A41" s="93" t="s">
        <v>290</v>
      </c>
      <c r="B41" s="199" t="s">
        <v>317</v>
      </c>
      <c r="C41" s="199">
        <v>149915</v>
      </c>
      <c r="D41" s="199" t="s">
        <v>403</v>
      </c>
      <c r="E41" s="199" t="s">
        <v>413</v>
      </c>
      <c r="F41" s="199" t="s">
        <v>188</v>
      </c>
      <c r="G41" s="108"/>
      <c r="H41" s="46"/>
      <c r="I41" s="84"/>
    </row>
    <row r="42" spans="1:9" ht="15" customHeight="1">
      <c r="A42" s="93" t="s">
        <v>290</v>
      </c>
      <c r="B42" s="199" t="s">
        <v>395</v>
      </c>
      <c r="C42" s="292"/>
      <c r="D42" s="199" t="s">
        <v>393</v>
      </c>
      <c r="E42" s="108" t="s">
        <v>321</v>
      </c>
      <c r="F42" s="292"/>
      <c r="G42" s="199" t="s">
        <v>394</v>
      </c>
      <c r="H42" s="46"/>
      <c r="I42" s="84"/>
    </row>
    <row r="43" spans="1:9" ht="15.75" customHeight="1">
      <c r="A43" s="93" t="s">
        <v>290</v>
      </c>
      <c r="B43" s="199" t="s">
        <v>395</v>
      </c>
      <c r="C43" s="199">
        <v>184131</v>
      </c>
      <c r="D43" s="199" t="s">
        <v>397</v>
      </c>
      <c r="E43" s="108" t="s">
        <v>321</v>
      </c>
      <c r="F43" s="199" t="s">
        <v>402</v>
      </c>
      <c r="G43" s="108"/>
      <c r="H43" s="46"/>
      <c r="I43" s="84"/>
    </row>
    <row r="44" spans="1:9" ht="15.75" customHeight="1">
      <c r="A44" s="101"/>
      <c r="B44" s="33"/>
      <c r="C44" s="33"/>
      <c r="D44" s="202"/>
      <c r="E44" s="41"/>
      <c r="F44" s="70"/>
      <c r="G44" s="45"/>
      <c r="H44" s="46"/>
      <c r="I44" s="84"/>
    </row>
    <row r="45" spans="1:9" ht="15.65" customHeight="1">
      <c r="A45" s="80" t="s">
        <v>375</v>
      </c>
      <c r="B45" s="32"/>
      <c r="C45" s="32"/>
      <c r="D45" s="80"/>
      <c r="E45" s="32"/>
      <c r="F45" s="32"/>
      <c r="G45" s="32"/>
      <c r="H45" s="46"/>
      <c r="I45" s="84"/>
    </row>
    <row r="46" spans="1:9" ht="15.5">
      <c r="A46" s="34" t="s">
        <v>76</v>
      </c>
      <c r="B46" s="34" t="s">
        <v>77</v>
      </c>
      <c r="C46" s="34" t="s">
        <v>78</v>
      </c>
      <c r="D46" s="34" t="s">
        <v>79</v>
      </c>
      <c r="E46" s="34" t="s">
        <v>80</v>
      </c>
      <c r="F46" s="60" t="s">
        <v>81</v>
      </c>
      <c r="G46" s="35" t="s">
        <v>100</v>
      </c>
      <c r="H46" s="46"/>
      <c r="I46" s="84"/>
    </row>
    <row r="47" spans="1:9" ht="15.65" customHeight="1">
      <c r="A47" s="93" t="s">
        <v>290</v>
      </c>
      <c r="B47" s="94" t="s">
        <v>323</v>
      </c>
      <c r="C47" s="294">
        <v>171185</v>
      </c>
      <c r="D47" s="294" t="s">
        <v>324</v>
      </c>
      <c r="E47" s="108" t="s">
        <v>321</v>
      </c>
      <c r="F47" s="289" t="s">
        <v>390</v>
      </c>
      <c r="G47" s="108"/>
      <c r="H47" s="46" t="s">
        <v>412</v>
      </c>
      <c r="I47" s="84"/>
    </row>
    <row r="48" spans="1:9" ht="15.65" customHeight="1">
      <c r="A48" s="93" t="s">
        <v>290</v>
      </c>
      <c r="B48" s="94" t="s">
        <v>251</v>
      </c>
      <c r="C48" s="94">
        <v>177952</v>
      </c>
      <c r="D48" s="288" t="s">
        <v>85</v>
      </c>
      <c r="E48" s="108" t="s">
        <v>321</v>
      </c>
      <c r="F48" s="289" t="s">
        <v>87</v>
      </c>
      <c r="G48" s="108"/>
      <c r="H48" s="46" t="s">
        <v>414</v>
      </c>
      <c r="I48" s="84"/>
    </row>
    <row r="49" spans="1:9" ht="15.65" customHeight="1">
      <c r="A49" s="93" t="s">
        <v>290</v>
      </c>
      <c r="B49" s="94" t="s">
        <v>251</v>
      </c>
      <c r="C49" s="94">
        <v>184374</v>
      </c>
      <c r="D49" s="288" t="s">
        <v>392</v>
      </c>
      <c r="E49" s="108" t="s">
        <v>321</v>
      </c>
      <c r="F49" s="289" t="s">
        <v>396</v>
      </c>
      <c r="G49" s="108"/>
      <c r="H49" s="46"/>
      <c r="I49" s="84"/>
    </row>
    <row r="50" spans="1:9" ht="15" customHeight="1">
      <c r="A50" s="93" t="s">
        <v>290</v>
      </c>
      <c r="B50" s="199" t="s">
        <v>395</v>
      </c>
      <c r="C50" s="199">
        <v>159000</v>
      </c>
      <c r="D50" s="199" t="s">
        <v>398</v>
      </c>
      <c r="E50" s="108" t="s">
        <v>321</v>
      </c>
      <c r="F50" s="199" t="s">
        <v>400</v>
      </c>
      <c r="G50" s="108"/>
      <c r="H50" s="46"/>
      <c r="I50" s="84"/>
    </row>
    <row r="51" spans="1:9" ht="15.75" customHeight="1">
      <c r="A51" s="93" t="s">
        <v>290</v>
      </c>
      <c r="B51" s="199" t="s">
        <v>395</v>
      </c>
      <c r="C51" s="199">
        <v>183858</v>
      </c>
      <c r="D51" s="199" t="s">
        <v>399</v>
      </c>
      <c r="E51" s="108" t="s">
        <v>321</v>
      </c>
      <c r="F51" s="199" t="s">
        <v>401</v>
      </c>
      <c r="G51" s="108"/>
      <c r="H51" s="46"/>
      <c r="I51" s="84"/>
    </row>
  </sheetData>
  <phoneticPr fontId="18" type="noConversion"/>
  <hyperlinks>
    <hyperlink ref="F3" r:id="rId1" xr:uid="{F4BAF901-A917-4F7A-B846-CD38427D7AF9}"/>
    <hyperlink ref="F19" r:id="rId2" xr:uid="{83C1083C-A7B3-4BB7-8189-F29F27D70361}"/>
    <hyperlink ref="F20" r:id="rId3" xr:uid="{1D844D0F-3626-4DD5-B52C-A446A8463029}"/>
    <hyperlink ref="F30" r:id="rId4" xr:uid="{143E748D-D662-41C3-B4A0-05562D5E6F8F}"/>
    <hyperlink ref="F31" r:id="rId5" display="mailto:Benz.Geevarghese@alfuttaim.com" xr:uid="{8736C61E-EA5B-44A6-A16C-79F104AD6DFC}"/>
    <hyperlink ref="F38" r:id="rId6" xr:uid="{3CE0A4A4-3C4B-47AA-B7BB-C2EB5D30352E}"/>
    <hyperlink ref="F39" r:id="rId7" xr:uid="{E4AE3C52-A1ED-42E6-AD5E-757F2693251E}"/>
    <hyperlink ref="F48" r:id="rId8" xr:uid="{534F8DBA-5481-4FAD-B122-89639BACCBEB}"/>
    <hyperlink ref="F49" r:id="rId9" display="mailto:Benz.Geevarghese@alfuttaim.com" xr:uid="{81C4FA38-D717-470F-88EB-7F814CDF46AD}"/>
    <hyperlink ref="F23" r:id="rId10" display="mailto:shamsudheen.valappil@alfuttaim.com" xr:uid="{AC4F9B9F-1204-4308-901C-A78DF801ABD0}"/>
  </hyperlinks>
  <pageMargins left="0.7" right="0.7" top="0.75" bottom="0.75" header="0.3" footer="0.3"/>
  <pageSetup paperSize="9" scale="86" orientation="landscape" r:id="rId11"/>
  <headerFooter>
    <oddFooter>&amp;C_x000D_&amp;1#&amp;"Calibri"&amp;10&amp;K000000 Restricted : General Al-Futtaim Group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82A-7CFE-4595-AA50-61DFA808CF83}">
  <sheetPr>
    <pageSetUpPr fitToPage="1"/>
  </sheetPr>
  <dimension ref="A1:Q27"/>
  <sheetViews>
    <sheetView zoomScale="70" zoomScaleNormal="70" workbookViewId="0">
      <selection activeCell="E29" sqref="E29"/>
    </sheetView>
  </sheetViews>
  <sheetFormatPr defaultColWidth="8.54296875" defaultRowHeight="14.5"/>
  <cols>
    <col min="1" max="1" width="16.36328125" style="64" customWidth="1"/>
    <col min="2" max="2" width="14.6328125" style="64" customWidth="1"/>
    <col min="3" max="3" width="16.6328125" style="64" customWidth="1"/>
    <col min="4" max="4" width="51" style="64" customWidth="1"/>
    <col min="5" max="5" width="14.54296875" style="64" customWidth="1"/>
    <col min="6" max="6" width="18.54296875" style="64" customWidth="1"/>
    <col min="7" max="7" width="15.6328125" style="64" customWidth="1"/>
    <col min="8" max="8" width="10.54296875" style="64" customWidth="1"/>
    <col min="9" max="9" width="11.36328125" style="64" customWidth="1"/>
    <col min="10" max="10" width="9" style="64" customWidth="1"/>
    <col min="11" max="11" width="13.36328125" style="64" customWidth="1"/>
    <col min="12" max="12" width="13" style="64" customWidth="1"/>
    <col min="13" max="13" width="13.6328125" style="64" customWidth="1"/>
    <col min="14" max="14" width="11.54296875" style="64" customWidth="1"/>
    <col min="15" max="15" width="20.453125" style="64" customWidth="1"/>
    <col min="16" max="16" width="13.6328125" style="64" customWidth="1"/>
    <col min="17" max="16384" width="8.54296875" style="64"/>
  </cols>
  <sheetData>
    <row r="1" spans="1:17" ht="15.65" customHeight="1">
      <c r="A1" s="80"/>
      <c r="B1" s="32"/>
      <c r="C1" s="32"/>
      <c r="D1" s="80"/>
      <c r="E1" s="32"/>
      <c r="F1" s="32"/>
      <c r="G1" s="32"/>
      <c r="H1" s="46"/>
      <c r="I1" s="46"/>
      <c r="J1" s="84"/>
      <c r="K1" s="86"/>
      <c r="L1" s="86"/>
      <c r="M1" s="86"/>
      <c r="N1" s="86"/>
      <c r="O1" s="86"/>
      <c r="P1" s="86"/>
      <c r="Q1" s="84"/>
    </row>
    <row r="2" spans="1:17" ht="15.5">
      <c r="A2" s="34" t="s">
        <v>76</v>
      </c>
      <c r="B2" s="34" t="s">
        <v>77</v>
      </c>
      <c r="C2" s="34" t="s">
        <v>78</v>
      </c>
      <c r="D2" s="43" t="s">
        <v>79</v>
      </c>
      <c r="E2" s="34" t="s">
        <v>80</v>
      </c>
      <c r="F2" s="60" t="s">
        <v>81</v>
      </c>
      <c r="G2" s="35" t="s">
        <v>100</v>
      </c>
      <c r="H2" s="46"/>
      <c r="I2" s="46"/>
      <c r="J2" s="84"/>
      <c r="K2" s="86"/>
      <c r="L2" s="86"/>
      <c r="M2" s="86"/>
      <c r="N2" s="86"/>
      <c r="O2" s="86"/>
      <c r="P2" s="86"/>
      <c r="Q2" s="84"/>
    </row>
    <row r="3" spans="1:17" ht="15.65" customHeight="1">
      <c r="A3" s="93"/>
      <c r="B3" s="94"/>
      <c r="C3" s="94"/>
      <c r="D3" s="95"/>
      <c r="E3" s="36"/>
      <c r="F3" s="61"/>
      <c r="G3" s="176"/>
      <c r="H3" s="72"/>
      <c r="I3" s="46"/>
      <c r="J3" s="84"/>
      <c r="K3" s="88"/>
      <c r="L3" s="89"/>
      <c r="M3" s="89"/>
      <c r="N3" s="89"/>
      <c r="O3" s="81"/>
      <c r="P3" s="69"/>
      <c r="Q3" s="84"/>
    </row>
    <row r="4" spans="1:17" ht="15.65" customHeight="1">
      <c r="A4" s="93"/>
      <c r="B4" s="94"/>
      <c r="C4" s="94"/>
      <c r="D4" s="95"/>
      <c r="E4" s="36"/>
      <c r="F4" s="61"/>
      <c r="G4" s="176"/>
      <c r="H4" s="46"/>
      <c r="I4" s="46"/>
      <c r="J4" s="84"/>
      <c r="K4" s="90"/>
      <c r="L4" s="87"/>
      <c r="M4" s="87"/>
      <c r="N4" s="89"/>
      <c r="O4" s="81"/>
      <c r="P4" s="59"/>
      <c r="Q4" s="84"/>
    </row>
    <row r="5" spans="1:17" ht="15.65" customHeight="1">
      <c r="A5" s="93"/>
      <c r="B5" s="94"/>
      <c r="C5" s="94"/>
      <c r="D5" s="95"/>
      <c r="E5" s="36"/>
      <c r="F5" s="61"/>
      <c r="G5" s="176"/>
      <c r="H5" s="46"/>
      <c r="I5" s="46"/>
      <c r="J5" s="84"/>
      <c r="K5" s="90"/>
      <c r="L5" s="87"/>
      <c r="M5" s="87"/>
      <c r="N5" s="89"/>
      <c r="O5" s="81"/>
      <c r="P5" s="59"/>
      <c r="Q5" s="84"/>
    </row>
    <row r="6" spans="1:17" ht="15.65" customHeight="1">
      <c r="A6" s="93"/>
      <c r="B6" s="94"/>
      <c r="C6" s="94"/>
      <c r="D6" s="95"/>
      <c r="E6" s="36"/>
      <c r="F6" s="61"/>
      <c r="G6" s="176"/>
      <c r="H6" s="46"/>
      <c r="I6" s="46"/>
      <c r="J6" s="84"/>
      <c r="K6" s="90"/>
      <c r="L6" s="87"/>
      <c r="M6" s="89"/>
      <c r="N6" s="89"/>
      <c r="O6" s="81"/>
      <c r="P6" s="59"/>
      <c r="Q6" s="84"/>
    </row>
    <row r="7" spans="1:17" ht="15" customHeight="1">
      <c r="A7" s="93"/>
      <c r="B7" s="96"/>
      <c r="C7" s="96"/>
      <c r="D7" s="85"/>
      <c r="E7" s="37"/>
      <c r="F7" s="83"/>
      <c r="G7" s="176"/>
      <c r="H7" s="46"/>
      <c r="I7" s="46"/>
      <c r="J7" s="84"/>
      <c r="K7" s="90"/>
      <c r="L7" s="87"/>
      <c r="M7" s="87"/>
      <c r="N7" s="89"/>
      <c r="O7" s="81"/>
      <c r="P7" s="59"/>
      <c r="Q7" s="84"/>
    </row>
    <row r="8" spans="1:17" ht="15.75" customHeight="1">
      <c r="A8" s="93"/>
      <c r="B8" s="97"/>
      <c r="C8" s="97"/>
      <c r="D8" s="85"/>
      <c r="E8" s="37"/>
      <c r="F8" s="83"/>
      <c r="G8" s="176"/>
      <c r="H8" s="46"/>
      <c r="I8" s="46"/>
      <c r="J8" s="84"/>
      <c r="K8" s="86"/>
      <c r="L8" s="86"/>
      <c r="M8" s="86"/>
      <c r="N8" s="86"/>
      <c r="O8" s="84"/>
      <c r="P8" s="84"/>
      <c r="Q8" s="84"/>
    </row>
    <row r="9" spans="1:17" ht="15.65" customHeight="1">
      <c r="A9" s="93"/>
      <c r="B9" s="103"/>
      <c r="C9" s="103"/>
      <c r="D9" s="92"/>
      <c r="E9" s="37"/>
      <c r="F9" s="83"/>
      <c r="G9" s="176"/>
      <c r="H9" s="46"/>
      <c r="I9" s="46"/>
      <c r="J9" s="84"/>
      <c r="K9" s="86"/>
      <c r="L9" s="86"/>
      <c r="M9" s="86"/>
      <c r="N9" s="86"/>
      <c r="O9" s="84"/>
      <c r="P9" s="84"/>
      <c r="Q9" s="84"/>
    </row>
    <row r="10" spans="1:17" ht="14.75" customHeight="1">
      <c r="A10" s="77"/>
      <c r="B10" s="89"/>
      <c r="C10" s="79"/>
      <c r="D10" s="71"/>
      <c r="E10" s="41"/>
      <c r="F10" s="70"/>
      <c r="G10" s="45"/>
      <c r="H10" s="46"/>
      <c r="I10" s="46"/>
      <c r="J10" s="84"/>
      <c r="K10" s="90"/>
      <c r="L10" s="87"/>
      <c r="M10" s="87"/>
      <c r="N10" s="89"/>
      <c r="O10" s="84"/>
      <c r="P10" s="84"/>
      <c r="Q10" s="84"/>
    </row>
    <row r="11" spans="1:17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</row>
    <row r="12" spans="1:17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</row>
    <row r="13" spans="1:17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</row>
    <row r="14" spans="1:17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</row>
    <row r="15" spans="1:17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</row>
    <row r="16" spans="1:17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</row>
    <row r="17" spans="1: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</row>
    <row r="18" spans="1:17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</row>
    <row r="19" spans="1:17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</row>
    <row r="20" spans="1:17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</row>
    <row r="21" spans="1:17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</row>
    <row r="22" spans="1:17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</row>
    <row r="23" spans="1:17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</row>
    <row r="24" spans="1:17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</row>
    <row r="25" spans="1:17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</row>
    <row r="26" spans="1:17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</row>
    <row r="27" spans="1:1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</row>
  </sheetData>
  <phoneticPr fontId="18" type="noConversion"/>
  <pageMargins left="0.7" right="0.7" top="0.75" bottom="0.75" header="0.3" footer="0.3"/>
  <pageSetup paperSize="9" scale="86" orientation="landscape"/>
  <headerFooter>
    <oddFooter>&amp;C_x000D_&amp;1#&amp;"Calibri"&amp;10&amp;K000000 Restricted : General Al-Futtaim Group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B79A-9F2E-42A1-8C07-79917BFC6F1F}">
  <dimension ref="A2:H18"/>
  <sheetViews>
    <sheetView workbookViewId="0">
      <selection activeCell="D13" sqref="D13"/>
    </sheetView>
  </sheetViews>
  <sheetFormatPr defaultRowHeight="14.5"/>
  <cols>
    <col min="1" max="1" width="21.6328125" bestFit="1" customWidth="1"/>
    <col min="2" max="2" width="26.81640625" bestFit="1" customWidth="1"/>
    <col min="3" max="4" width="24.453125" bestFit="1" customWidth="1"/>
    <col min="5" max="5" width="22.36328125" bestFit="1" customWidth="1"/>
    <col min="6" max="6" width="18.453125" bestFit="1" customWidth="1"/>
    <col min="7" max="7" width="15.08984375" bestFit="1" customWidth="1"/>
    <col min="8" max="8" width="17.6328125" customWidth="1"/>
    <col min="9" max="9" width="8.6328125" bestFit="1" customWidth="1"/>
  </cols>
  <sheetData>
    <row r="2" spans="1:8" ht="29">
      <c r="B2" s="329" t="s">
        <v>433</v>
      </c>
      <c r="C2" s="327" t="s">
        <v>438</v>
      </c>
      <c r="D2" s="327" t="s">
        <v>428</v>
      </c>
      <c r="E2" s="327" t="s">
        <v>429</v>
      </c>
      <c r="F2" s="327" t="s">
        <v>430</v>
      </c>
      <c r="G2" s="328" t="s">
        <v>432</v>
      </c>
      <c r="H2" s="328" t="s">
        <v>431</v>
      </c>
    </row>
    <row r="3" spans="1:8">
      <c r="A3" s="24" t="s">
        <v>441</v>
      </c>
      <c r="B3" s="326">
        <v>33</v>
      </c>
      <c r="C3" s="347">
        <f>33/33</f>
        <v>1</v>
      </c>
      <c r="D3" s="330">
        <f>18/22</f>
        <v>0.81818181818181823</v>
      </c>
      <c r="E3" s="330">
        <v>0</v>
      </c>
      <c r="F3" s="346">
        <f>21/22</f>
        <v>0.95454545454545459</v>
      </c>
      <c r="G3" s="330">
        <f>AVERAGE(C3:F3)</f>
        <v>0.69318181818181823</v>
      </c>
      <c r="H3" s="330">
        <v>0</v>
      </c>
    </row>
    <row r="4" spans="1:8">
      <c r="A4" s="24" t="s">
        <v>442</v>
      </c>
      <c r="B4" s="326">
        <v>22</v>
      </c>
      <c r="C4" s="347">
        <f>22/22</f>
        <v>1</v>
      </c>
      <c r="D4" s="330">
        <f>18/22</f>
        <v>0.81818181818181823</v>
      </c>
      <c r="E4" s="330">
        <v>0</v>
      </c>
      <c r="F4" s="346">
        <f>21/22</f>
        <v>0.95454545454545459</v>
      </c>
      <c r="G4" s="330">
        <f>AVERAGE(C4:F4)</f>
        <v>0.69318181818181823</v>
      </c>
      <c r="H4" s="330">
        <v>0</v>
      </c>
    </row>
    <row r="5" spans="1:8">
      <c r="A5" s="24" t="s">
        <v>443</v>
      </c>
      <c r="B5" s="326">
        <v>11</v>
      </c>
      <c r="C5" s="347">
        <f>11/11</f>
        <v>1</v>
      </c>
      <c r="D5" s="330">
        <f>10/11</f>
        <v>0.90909090909090906</v>
      </c>
      <c r="E5" s="330">
        <v>0</v>
      </c>
      <c r="F5" s="348">
        <f>11/11</f>
        <v>1</v>
      </c>
      <c r="G5" s="330">
        <f>AVERAGE(C5:F5)</f>
        <v>0.72727272727272729</v>
      </c>
      <c r="H5" s="330">
        <v>0</v>
      </c>
    </row>
    <row r="6" spans="1:8">
      <c r="A6" s="24" t="s">
        <v>434</v>
      </c>
      <c r="B6" s="326">
        <v>11</v>
      </c>
      <c r="C6" s="330">
        <f>8/11</f>
        <v>0.72727272727272729</v>
      </c>
      <c r="D6" s="330">
        <v>0</v>
      </c>
      <c r="E6" s="330">
        <v>0</v>
      </c>
      <c r="F6" s="347">
        <f>11/11</f>
        <v>1</v>
      </c>
      <c r="G6" s="330">
        <f>AVERAGE(C6:F6)</f>
        <v>0.43181818181818182</v>
      </c>
      <c r="H6" s="330">
        <v>0</v>
      </c>
    </row>
    <row r="7" spans="1:8">
      <c r="A7" s="24" t="s">
        <v>437</v>
      </c>
      <c r="B7" s="326">
        <v>5</v>
      </c>
      <c r="C7" s="347">
        <f>5/5</f>
        <v>1</v>
      </c>
      <c r="D7" s="330">
        <v>0</v>
      </c>
      <c r="E7" s="330">
        <v>0</v>
      </c>
      <c r="F7" s="347">
        <f>5/5</f>
        <v>1</v>
      </c>
      <c r="G7" s="330">
        <f t="shared" ref="G7:G11" si="0">AVERAGE(C7:F7)</f>
        <v>0.5</v>
      </c>
      <c r="H7" s="330">
        <v>0</v>
      </c>
    </row>
    <row r="8" spans="1:8">
      <c r="A8" s="24" t="s">
        <v>444</v>
      </c>
      <c r="B8" s="326">
        <v>2</v>
      </c>
      <c r="C8" s="347">
        <f>2/2</f>
        <v>1</v>
      </c>
      <c r="D8" s="330">
        <v>0</v>
      </c>
      <c r="E8" s="330">
        <v>0</v>
      </c>
      <c r="F8" s="347">
        <f>2/2</f>
        <v>1</v>
      </c>
      <c r="G8" s="330">
        <f t="shared" si="0"/>
        <v>0.5</v>
      </c>
      <c r="H8" s="330">
        <v>0</v>
      </c>
    </row>
    <row r="9" spans="1:8">
      <c r="A9" s="24" t="s">
        <v>445</v>
      </c>
      <c r="B9" s="326">
        <v>4</v>
      </c>
      <c r="C9" s="347">
        <f>1/4</f>
        <v>0.25</v>
      </c>
      <c r="D9" s="330">
        <v>0</v>
      </c>
      <c r="E9" s="330">
        <v>0</v>
      </c>
      <c r="F9" s="347">
        <f>4/4</f>
        <v>1</v>
      </c>
      <c r="G9" s="330">
        <f t="shared" ref="G9" si="1">AVERAGE(C9:F9)</f>
        <v>0.3125</v>
      </c>
      <c r="H9" s="330">
        <v>0</v>
      </c>
    </row>
    <row r="10" spans="1:8">
      <c r="A10" s="24" t="s">
        <v>435</v>
      </c>
      <c r="B10" s="326">
        <v>10</v>
      </c>
      <c r="C10" s="330">
        <v>0</v>
      </c>
      <c r="D10" s="330">
        <v>0</v>
      </c>
      <c r="E10" s="330">
        <v>0</v>
      </c>
      <c r="F10" s="330">
        <v>0</v>
      </c>
      <c r="G10" s="330">
        <f>AVERAGE(C10:F10)</f>
        <v>0</v>
      </c>
      <c r="H10" s="330">
        <v>0</v>
      </c>
    </row>
    <row r="11" spans="1:8">
      <c r="A11" s="24" t="s">
        <v>436</v>
      </c>
      <c r="B11" s="326" t="s">
        <v>439</v>
      </c>
      <c r="C11" s="330">
        <v>0</v>
      </c>
      <c r="D11" s="330">
        <v>0</v>
      </c>
      <c r="E11" s="330">
        <v>0</v>
      </c>
      <c r="F11" s="330">
        <v>0</v>
      </c>
      <c r="G11" s="330">
        <f t="shared" si="0"/>
        <v>0</v>
      </c>
      <c r="H11" s="330">
        <v>0</v>
      </c>
    </row>
    <row r="12" spans="1:8">
      <c r="A12" s="24" t="s">
        <v>440</v>
      </c>
      <c r="B12" s="326">
        <v>1</v>
      </c>
      <c r="C12" s="330">
        <v>0</v>
      </c>
      <c r="D12" s="330">
        <v>0</v>
      </c>
      <c r="E12" s="330">
        <v>0</v>
      </c>
      <c r="F12" s="330">
        <v>0</v>
      </c>
      <c r="G12" s="330">
        <f t="shared" ref="G12" si="2">AVERAGE(C12:F12)</f>
        <v>0</v>
      </c>
      <c r="H12" s="330">
        <v>0</v>
      </c>
    </row>
    <row r="17" spans="1:4">
      <c r="B17" t="s">
        <v>447</v>
      </c>
      <c r="C17" t="s">
        <v>448</v>
      </c>
    </row>
    <row r="18" spans="1:4">
      <c r="A18" t="s">
        <v>446</v>
      </c>
      <c r="B18">
        <v>26</v>
      </c>
      <c r="C18">
        <v>10</v>
      </c>
      <c r="D18" s="349">
        <f>26/36</f>
        <v>0.72222222222222221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CB512F1D56DD4896EE4BE015E0390F" ma:contentTypeVersion="17" ma:contentTypeDescription="Create a new document." ma:contentTypeScope="" ma:versionID="eead8922eede86f0d6e855e6f809caee">
  <xsd:schema xmlns:xsd="http://www.w3.org/2001/XMLSchema" xmlns:xs="http://www.w3.org/2001/XMLSchema" xmlns:p="http://schemas.microsoft.com/office/2006/metadata/properties" xmlns:ns2="ad634033-2b90-48d2-9bd5-7be14ceacc5b" xmlns:ns3="f1dbe68f-bb80-4c6f-bab1-b93fdb330d29" targetNamespace="http://schemas.microsoft.com/office/2006/metadata/properties" ma:root="true" ma:fieldsID="cc19e070f6f74ac2d524cbbe809bc009" ns2:_="" ns3:_="">
    <xsd:import namespace="ad634033-2b90-48d2-9bd5-7be14ceacc5b"/>
    <xsd:import namespace="f1dbe68f-bb80-4c6f-bab1-b93fdb330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34033-2b90-48d2-9bd5-7be14ceac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f333aa0-1660-4a69-b487-86ecbf4b4b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be68f-bb80-4c6f-bab1-b93fdb330d2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65e8709-2885-4851-9a24-16e6b4a57a0b}" ma:internalName="TaxCatchAll" ma:showField="CatchAllData" ma:web="f1dbe68f-bb80-4c6f-bab1-b93fdb330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be68f-bb80-4c6f-bab1-b93fdb330d29" xsi:nil="true"/>
    <lcf76f155ced4ddcb4097134ff3c332f xmlns="ad634033-2b90-48d2-9bd5-7be14ceacc5b">
      <Terms xmlns="http://schemas.microsoft.com/office/infopath/2007/PartnerControls"/>
    </lcf76f155ced4ddcb4097134ff3c332f>
    <SharedWithUsers xmlns="f1dbe68f-bb80-4c6f-bab1-b93fdb330d29">
      <UserInfo>
        <DisplayName>Anjana Sasidharan</DisplayName>
        <AccountId>161</AccountId>
        <AccountType/>
      </UserInfo>
      <UserInfo>
        <DisplayName>Christian San Jose</DisplayName>
        <AccountId>98</AccountId>
        <AccountType/>
      </UserInfo>
      <UserInfo>
        <DisplayName>Jinu Francis</DisplayName>
        <AccountId>149</AccountId>
        <AccountType/>
      </UserInfo>
      <UserInfo>
        <DisplayName>Shane Elliott</DisplayName>
        <AccountId>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CF7D3B3-9796-4452-9E81-CCC826CB9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34033-2b90-48d2-9bd5-7be14ceacc5b"/>
    <ds:schemaRef ds:uri="f1dbe68f-bb80-4c6f-bab1-b93fdb330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78A604-FA88-4961-8770-3A783C371A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5D432F-44A1-4D11-896C-D77533D32BEE}">
  <ds:schemaRefs>
    <ds:schemaRef ds:uri="http://schemas.microsoft.com/office/2006/metadata/properties"/>
    <ds:schemaRef ds:uri="http://schemas.microsoft.com/office/infopath/2007/PartnerControls"/>
    <ds:schemaRef ds:uri="f1dbe68f-bb80-4c6f-bab1-b93fdb330d29"/>
    <ds:schemaRef ds:uri="ad634033-2b90-48d2-9bd5-7be14ceacc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2025</vt:lpstr>
      <vt:lpstr>Jan</vt:lpstr>
      <vt:lpstr>Feb</vt:lpstr>
      <vt:lpstr>Mar</vt:lpstr>
      <vt:lpstr>April</vt:lpstr>
      <vt:lpstr>May</vt:lpstr>
      <vt:lpstr>Jun</vt:lpstr>
      <vt:lpstr>July</vt:lpstr>
      <vt:lpstr>Aug</vt:lpstr>
      <vt:lpstr>Sep</vt:lpstr>
      <vt:lpstr>Oct</vt:lpstr>
      <vt:lpstr>Nov</vt:lpstr>
      <vt:lpstr>Dec</vt:lpstr>
      <vt:lpstr>Overall IMI Status</vt:lpstr>
      <vt:lpstr>'2025'!Print_Area</vt:lpstr>
    </vt:vector>
  </TitlesOfParts>
  <Manager/>
  <Company>Al Futtaim Group of Companies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Akhtar Ali Ansari</dc:creator>
  <cp:keywords/>
  <dc:description/>
  <cp:lastModifiedBy>Fatma Alsagaf</cp:lastModifiedBy>
  <cp:revision/>
  <dcterms:created xsi:type="dcterms:W3CDTF">2018-11-15T09:22:38Z</dcterms:created>
  <dcterms:modified xsi:type="dcterms:W3CDTF">2025-10-30T04:53:44Z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0x01010023CB512F1D56DD4896EE4BE015E0390F</vt:lpwstr>
  </property>
  <property fmtid="{D5CDD505-2E9C-101B-9397-08002B2CF9AE}" pid="3" name="MediaServiceImageTags">
    <vt:lpwstr/>
  </property>
  <property fmtid="{D5CDD505-2E9C-101B-9397-08002B2CF9AE}" pid="4" name="MSIP_Label_a8b038a4-b690-439f-9fce-f9c106be0ae1_Enabled">
    <vt:lpwstr>true</vt:lpwstr>
  </property>
  <property fmtid="{D5CDD505-2E9C-101B-9397-08002B2CF9AE}" pid="5" name="MSIP_Label_a8b038a4-b690-439f-9fce-f9c106be0ae1_SetDate">
    <vt:lpwstr>2024-11-19T06:27:40Z</vt:lpwstr>
  </property>
  <property fmtid="{D5CDD505-2E9C-101B-9397-08002B2CF9AE}" pid="6" name="MSIP_Label_a8b038a4-b690-439f-9fce-f9c106be0ae1_Method">
    <vt:lpwstr>Standard</vt:lpwstr>
  </property>
  <property fmtid="{D5CDD505-2E9C-101B-9397-08002B2CF9AE}" pid="7" name="MSIP_Label_a8b038a4-b690-439f-9fce-f9c106be0ae1_Name">
    <vt:lpwstr>Restricted - No Encryption</vt:lpwstr>
  </property>
  <property fmtid="{D5CDD505-2E9C-101B-9397-08002B2CF9AE}" pid="8" name="MSIP_Label_a8b038a4-b690-439f-9fce-f9c106be0ae1_SiteId">
    <vt:lpwstr>79ddd250-40e1-4d41-ba0f-c9e9849725cb</vt:lpwstr>
  </property>
  <property fmtid="{D5CDD505-2E9C-101B-9397-08002B2CF9AE}" pid="9" name="MSIP_Label_a8b038a4-b690-439f-9fce-f9c106be0ae1_ActionId">
    <vt:lpwstr>a66761f1-50d1-48f1-a231-adfb909f69ca</vt:lpwstr>
  </property>
  <property fmtid="{D5CDD505-2E9C-101B-9397-08002B2CF9AE}" pid="10" name="MSIP_Label_a8b038a4-b690-439f-9fce-f9c106be0ae1_ContentBits">
    <vt:lpwstr>2</vt:lpwstr>
  </property>
</Properties>
</file>