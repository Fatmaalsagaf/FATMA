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Product &amp; Sales Learning/Automotive/Sales Process/"/>
    </mc:Choice>
  </mc:AlternateContent>
  <xr:revisionPtr revIDLastSave="3" documentId="8_{5412EAB8-C511-4F42-A9E3-1D1E25A22BDF}" xr6:coauthVersionLast="47" xr6:coauthVersionMax="47" xr10:uidLastSave="{32CEE00E-76FD-4E47-97D8-487D4DF16044}"/>
  <bookViews>
    <workbookView xWindow="-110" yWindow="-110" windowWidth="19420" windowHeight="11500" tabRatio="902" xr2:uid="{95AA9E8C-79B7-4EAC-976B-230DBD556E70}"/>
  </bookViews>
  <sheets>
    <sheet name="Branch Summary " sheetId="11" r:id="rId1"/>
    <sheet name="Participant 1" sheetId="1" r:id="rId2"/>
    <sheet name="Participant 2" sheetId="2" r:id="rId3"/>
    <sheet name="Participant 3" sheetId="3" r:id="rId4"/>
    <sheet name="Participant 4" sheetId="4" r:id="rId5"/>
    <sheet name="Participant 5" sheetId="5" r:id="rId6"/>
    <sheet name="Patricipant 6" sheetId="6" r:id="rId7"/>
    <sheet name="Participant 7" sheetId="7" r:id="rId8"/>
    <sheet name="Participant 8" sheetId="8" r:id="rId9"/>
    <sheet name="Participant 9" sheetId="9" r:id="rId10"/>
    <sheet name="Participant 10" sheetId="10" r:id="rId11"/>
    <sheet name="GRO 1" sheetId="12" r:id="rId12"/>
    <sheet name="GRO 2" sheetId="13" r:id="rId13"/>
    <sheet name="GRO 3" sheetId="14" r:id="rId14"/>
    <sheet name="Handover Specialist 1" sheetId="15" r:id="rId15"/>
    <sheet name="Handover Specialist 2" sheetId="16" r:id="rId16"/>
    <sheet name="Handover Specialist 3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1" l="1"/>
  <c r="B12" i="11"/>
  <c r="B11" i="11"/>
  <c r="B10" i="11"/>
  <c r="B9" i="11"/>
  <c r="B8" i="11"/>
  <c r="B7" i="11"/>
  <c r="B6" i="11"/>
  <c r="B5" i="11"/>
  <c r="B4" i="11"/>
  <c r="D84" i="17"/>
  <c r="D82" i="17"/>
  <c r="D81" i="17"/>
  <c r="D80" i="17"/>
  <c r="D79" i="17"/>
  <c r="D78" i="17"/>
  <c r="D77" i="17"/>
  <c r="D76" i="17"/>
  <c r="D75" i="17"/>
  <c r="D71" i="17"/>
  <c r="D70" i="17"/>
  <c r="D68" i="17"/>
  <c r="D67" i="17"/>
  <c r="D66" i="17"/>
  <c r="D64" i="17"/>
  <c r="D63" i="17"/>
  <c r="D62" i="17"/>
  <c r="D60" i="17"/>
  <c r="D59" i="17"/>
  <c r="D58" i="17"/>
  <c r="D56" i="17"/>
  <c r="D55" i="17"/>
  <c r="D54" i="17"/>
  <c r="D53" i="17"/>
  <c r="D51" i="17"/>
  <c r="D50" i="17"/>
  <c r="D49" i="17"/>
  <c r="D42" i="17"/>
  <c r="D40" i="17"/>
  <c r="D39" i="17"/>
  <c r="D38" i="17"/>
  <c r="D37" i="17"/>
  <c r="D36" i="17"/>
  <c r="D35" i="17"/>
  <c r="D34" i="17"/>
  <c r="D33" i="17"/>
  <c r="D32" i="17"/>
  <c r="D30" i="17"/>
  <c r="D29" i="17"/>
  <c r="D28" i="17"/>
  <c r="D27" i="17"/>
  <c r="D25" i="17"/>
  <c r="D24" i="17"/>
  <c r="D23" i="17"/>
  <c r="D21" i="17"/>
  <c r="D20" i="17"/>
  <c r="D19" i="17"/>
  <c r="D18" i="17"/>
  <c r="D17" i="17"/>
  <c r="D16" i="17"/>
  <c r="D15" i="17"/>
  <c r="D14" i="17"/>
  <c r="D84" i="16"/>
  <c r="D82" i="16"/>
  <c r="D81" i="16"/>
  <c r="D80" i="16"/>
  <c r="D79" i="16"/>
  <c r="D78" i="16"/>
  <c r="D77" i="16"/>
  <c r="D76" i="16"/>
  <c r="D75" i="16"/>
  <c r="D71" i="16"/>
  <c r="D70" i="16"/>
  <c r="D68" i="16"/>
  <c r="D67" i="16"/>
  <c r="D66" i="16"/>
  <c r="D64" i="16"/>
  <c r="D63" i="16"/>
  <c r="D62" i="16"/>
  <c r="D60" i="16"/>
  <c r="D59" i="16"/>
  <c r="D58" i="16"/>
  <c r="D56" i="16"/>
  <c r="D55" i="16"/>
  <c r="D54" i="16"/>
  <c r="D53" i="16"/>
  <c r="D51" i="16"/>
  <c r="D50" i="16"/>
  <c r="D49" i="16"/>
  <c r="D42" i="16"/>
  <c r="D40" i="16"/>
  <c r="D39" i="16"/>
  <c r="D38" i="16"/>
  <c r="D37" i="16"/>
  <c r="D36" i="16"/>
  <c r="D35" i="16"/>
  <c r="D34" i="16"/>
  <c r="D33" i="16"/>
  <c r="D32" i="16"/>
  <c r="D30" i="16"/>
  <c r="D29" i="16"/>
  <c r="D28" i="16"/>
  <c r="D27" i="16"/>
  <c r="D25" i="16"/>
  <c r="D24" i="16"/>
  <c r="D23" i="16"/>
  <c r="D21" i="16"/>
  <c r="D20" i="16"/>
  <c r="D19" i="16"/>
  <c r="D18" i="16"/>
  <c r="D17" i="16"/>
  <c r="D16" i="16"/>
  <c r="D15" i="16"/>
  <c r="D14" i="16"/>
  <c r="D76" i="15"/>
  <c r="D77" i="15"/>
  <c r="D78" i="15"/>
  <c r="D79" i="15"/>
  <c r="D80" i="15"/>
  <c r="D81" i="15"/>
  <c r="D82" i="15"/>
  <c r="D84" i="15"/>
  <c r="D75" i="15"/>
  <c r="D50" i="15"/>
  <c r="D51" i="15"/>
  <c r="D53" i="15"/>
  <c r="D54" i="15"/>
  <c r="D55" i="15"/>
  <c r="D56" i="15"/>
  <c r="D58" i="15"/>
  <c r="D59" i="15"/>
  <c r="D60" i="15"/>
  <c r="D62" i="15"/>
  <c r="D63" i="15"/>
  <c r="D64" i="15"/>
  <c r="D66" i="15"/>
  <c r="D67" i="15"/>
  <c r="D68" i="15"/>
  <c r="D70" i="15"/>
  <c r="D71" i="15"/>
  <c r="D49" i="15"/>
  <c r="D15" i="15"/>
  <c r="A28" i="11"/>
  <c r="A27" i="11"/>
  <c r="A26" i="11"/>
  <c r="D42" i="15"/>
  <c r="D40" i="15"/>
  <c r="D39" i="15"/>
  <c r="D38" i="15"/>
  <c r="D37" i="15"/>
  <c r="D36" i="15"/>
  <c r="D35" i="15"/>
  <c r="D34" i="15"/>
  <c r="D33" i="15"/>
  <c r="D32" i="15"/>
  <c r="D30" i="15"/>
  <c r="D29" i="15"/>
  <c r="D28" i="15"/>
  <c r="D27" i="15"/>
  <c r="D25" i="15"/>
  <c r="D24" i="15"/>
  <c r="D23" i="15"/>
  <c r="D21" i="15"/>
  <c r="D20" i="15"/>
  <c r="D19" i="15"/>
  <c r="D18" i="15"/>
  <c r="D17" i="15"/>
  <c r="D16" i="15"/>
  <c r="D14" i="15"/>
  <c r="A21" i="11"/>
  <c r="D42" i="14"/>
  <c r="D40" i="14"/>
  <c r="D39" i="14"/>
  <c r="D38" i="14"/>
  <c r="D37" i="14"/>
  <c r="D36" i="14"/>
  <c r="D35" i="14"/>
  <c r="D34" i="14"/>
  <c r="D33" i="14"/>
  <c r="D32" i="14"/>
  <c r="D30" i="14"/>
  <c r="D29" i="14"/>
  <c r="D28" i="14"/>
  <c r="D27" i="14"/>
  <c r="D25" i="14"/>
  <c r="D24" i="14"/>
  <c r="D23" i="14"/>
  <c r="D21" i="14"/>
  <c r="D20" i="14"/>
  <c r="D19" i="14"/>
  <c r="D18" i="14"/>
  <c r="D17" i="14"/>
  <c r="D16" i="14"/>
  <c r="D15" i="14"/>
  <c r="D14" i="14"/>
  <c r="A20" i="11"/>
  <c r="D42" i="13"/>
  <c r="D40" i="13"/>
  <c r="D39" i="13"/>
  <c r="D38" i="13"/>
  <c r="D37" i="13"/>
  <c r="D36" i="13"/>
  <c r="D35" i="13"/>
  <c r="D34" i="13"/>
  <c r="D33" i="13"/>
  <c r="D32" i="13"/>
  <c r="D30" i="13"/>
  <c r="D29" i="13"/>
  <c r="D28" i="13"/>
  <c r="D27" i="13"/>
  <c r="D25" i="13"/>
  <c r="D24" i="13"/>
  <c r="D23" i="13"/>
  <c r="D21" i="13"/>
  <c r="D20" i="13"/>
  <c r="D19" i="13"/>
  <c r="D18" i="13"/>
  <c r="D17" i="13"/>
  <c r="D16" i="13"/>
  <c r="D15" i="13"/>
  <c r="D14" i="13"/>
  <c r="A19" i="11"/>
  <c r="D15" i="12"/>
  <c r="D42" i="12"/>
  <c r="D40" i="12"/>
  <c r="D39" i="12"/>
  <c r="D38" i="12"/>
  <c r="D37" i="12"/>
  <c r="D36" i="12"/>
  <c r="D35" i="12"/>
  <c r="D34" i="12"/>
  <c r="D33" i="12"/>
  <c r="D32" i="12"/>
  <c r="D30" i="12"/>
  <c r="D29" i="12"/>
  <c r="D28" i="12"/>
  <c r="D27" i="12"/>
  <c r="D25" i="12"/>
  <c r="D24" i="12"/>
  <c r="D23" i="12"/>
  <c r="D21" i="12"/>
  <c r="D20" i="12"/>
  <c r="D19" i="12"/>
  <c r="D18" i="12"/>
  <c r="D17" i="12"/>
  <c r="D16" i="12"/>
  <c r="D14" i="12"/>
  <c r="A9" i="11"/>
  <c r="A13" i="11"/>
  <c r="A12" i="11"/>
  <c r="A11" i="11"/>
  <c r="A10" i="11"/>
  <c r="A8" i="11"/>
  <c r="A7" i="11"/>
  <c r="A6" i="11"/>
  <c r="A5" i="11"/>
  <c r="A4" i="11"/>
  <c r="D72" i="17" l="1"/>
  <c r="G14" i="17" s="1"/>
  <c r="D28" i="11" s="1"/>
  <c r="D44" i="17"/>
  <c r="G13" i="17" s="1"/>
  <c r="C28" i="11" s="1"/>
  <c r="D72" i="16"/>
  <c r="G14" i="16" s="1"/>
  <c r="D27" i="11" s="1"/>
  <c r="D43" i="14"/>
  <c r="G13" i="14" s="1"/>
  <c r="C21" i="11" s="1"/>
  <c r="D43" i="12"/>
  <c r="G13" i="12" s="1"/>
  <c r="C19" i="11" s="1"/>
  <c r="D85" i="16"/>
  <c r="G15" i="16" s="1"/>
  <c r="E27" i="11" s="1"/>
  <c r="D44" i="16"/>
  <c r="G13" i="16" s="1"/>
  <c r="G16" i="16" s="1"/>
  <c r="D85" i="15"/>
  <c r="G15" i="15" s="1"/>
  <c r="E26" i="11" s="1"/>
  <c r="D72" i="15"/>
  <c r="G14" i="15" s="1"/>
  <c r="D26" i="11" s="1"/>
  <c r="D85" i="17"/>
  <c r="G15" i="17" s="1"/>
  <c r="E28" i="11" s="1"/>
  <c r="D44" i="15"/>
  <c r="G13" i="15" s="1"/>
  <c r="C26" i="11" s="1"/>
  <c r="D43" i="13"/>
  <c r="G13" i="13" s="1"/>
  <c r="C20" i="11" s="1"/>
  <c r="D194" i="10"/>
  <c r="D192" i="10"/>
  <c r="D190" i="10"/>
  <c r="D189" i="10"/>
  <c r="D188" i="10"/>
  <c r="D187" i="10"/>
  <c r="D186" i="10"/>
  <c r="D185" i="10"/>
  <c r="D181" i="10"/>
  <c r="D180" i="10"/>
  <c r="D178" i="10"/>
  <c r="D177" i="10"/>
  <c r="D176" i="10"/>
  <c r="D174" i="10"/>
  <c r="D173" i="10"/>
  <c r="D172" i="10"/>
  <c r="D170" i="10"/>
  <c r="D169" i="10"/>
  <c r="D168" i="10"/>
  <c r="D166" i="10"/>
  <c r="D164" i="10"/>
  <c r="D163" i="10"/>
  <c r="D161" i="10"/>
  <c r="D160" i="10"/>
  <c r="D159" i="10"/>
  <c r="D154" i="10"/>
  <c r="D152" i="10"/>
  <c r="D151" i="10"/>
  <c r="D150" i="10"/>
  <c r="D148" i="10"/>
  <c r="D146" i="10"/>
  <c r="D145" i="10"/>
  <c r="D143" i="10"/>
  <c r="D142" i="10"/>
  <c r="D141" i="10"/>
  <c r="D139" i="10"/>
  <c r="D138" i="10"/>
  <c r="D137" i="10"/>
  <c r="D135" i="10"/>
  <c r="D134" i="10"/>
  <c r="D133" i="10"/>
  <c r="D131" i="10"/>
  <c r="D130" i="10"/>
  <c r="D129" i="10"/>
  <c r="D124" i="10"/>
  <c r="D122" i="10"/>
  <c r="D120" i="10"/>
  <c r="D119" i="10"/>
  <c r="D117" i="10"/>
  <c r="D116" i="10"/>
  <c r="D115" i="10"/>
  <c r="D113" i="10"/>
  <c r="D112" i="10"/>
  <c r="D111" i="10"/>
  <c r="D109" i="10"/>
  <c r="D108" i="10"/>
  <c r="D107" i="10"/>
  <c r="D105" i="10"/>
  <c r="D104" i="10"/>
  <c r="D103" i="10"/>
  <c r="D98" i="10"/>
  <c r="D96" i="10"/>
  <c r="D94" i="10"/>
  <c r="D93" i="10"/>
  <c r="D92" i="10"/>
  <c r="D90" i="10"/>
  <c r="D89" i="10"/>
  <c r="D88" i="10"/>
  <c r="D86" i="10"/>
  <c r="D85" i="10"/>
  <c r="D84" i="10"/>
  <c r="D83" i="10"/>
  <c r="D81" i="10"/>
  <c r="D80" i="10"/>
  <c r="D79" i="10"/>
  <c r="D78" i="10"/>
  <c r="D77" i="10"/>
  <c r="D76" i="10"/>
  <c r="D71" i="10"/>
  <c r="D70" i="10"/>
  <c r="D69" i="10"/>
  <c r="D67" i="10"/>
  <c r="D66" i="10"/>
  <c r="D65" i="10"/>
  <c r="D64" i="10"/>
  <c r="D63" i="10"/>
  <c r="D61" i="10"/>
  <c r="D60" i="10"/>
  <c r="D59" i="10"/>
  <c r="D57" i="10"/>
  <c r="D56" i="10"/>
  <c r="D55" i="10"/>
  <c r="D54" i="10"/>
  <c r="D53" i="10"/>
  <c r="D52" i="10"/>
  <c r="D51" i="10"/>
  <c r="D50" i="10"/>
  <c r="D49" i="10"/>
  <c r="D43" i="10"/>
  <c r="D41" i="10"/>
  <c r="D40" i="10"/>
  <c r="D39" i="10"/>
  <c r="D38" i="10"/>
  <c r="D37" i="10"/>
  <c r="D36" i="10"/>
  <c r="D35" i="10"/>
  <c r="D34" i="10"/>
  <c r="D33" i="10"/>
  <c r="D31" i="10"/>
  <c r="D30" i="10"/>
  <c r="D29" i="10"/>
  <c r="D28" i="10"/>
  <c r="D26" i="10"/>
  <c r="D25" i="10"/>
  <c r="D24" i="10"/>
  <c r="D22" i="10"/>
  <c r="D21" i="10"/>
  <c r="D20" i="10"/>
  <c r="D19" i="10"/>
  <c r="D18" i="10"/>
  <c r="D17" i="10"/>
  <c r="D15" i="10"/>
  <c r="D194" i="9"/>
  <c r="D192" i="9"/>
  <c r="D190" i="9"/>
  <c r="D189" i="9"/>
  <c r="D188" i="9"/>
  <c r="D187" i="9"/>
  <c r="D186" i="9"/>
  <c r="D185" i="9"/>
  <c r="D181" i="9"/>
  <c r="D180" i="9"/>
  <c r="D178" i="9"/>
  <c r="D177" i="9"/>
  <c r="D176" i="9"/>
  <c r="D174" i="9"/>
  <c r="D173" i="9"/>
  <c r="D172" i="9"/>
  <c r="D170" i="9"/>
  <c r="D169" i="9"/>
  <c r="D168" i="9"/>
  <c r="D166" i="9"/>
  <c r="D164" i="9"/>
  <c r="D163" i="9"/>
  <c r="D161" i="9"/>
  <c r="D160" i="9"/>
  <c r="D159" i="9"/>
  <c r="D154" i="9"/>
  <c r="D152" i="9"/>
  <c r="D151" i="9"/>
  <c r="D150" i="9"/>
  <c r="D148" i="9"/>
  <c r="D146" i="9"/>
  <c r="D145" i="9"/>
  <c r="D143" i="9"/>
  <c r="D142" i="9"/>
  <c r="D141" i="9"/>
  <c r="D139" i="9"/>
  <c r="D138" i="9"/>
  <c r="D137" i="9"/>
  <c r="D135" i="9"/>
  <c r="D134" i="9"/>
  <c r="D133" i="9"/>
  <c r="D131" i="9"/>
  <c r="D130" i="9"/>
  <c r="D129" i="9"/>
  <c r="D124" i="9"/>
  <c r="D122" i="9"/>
  <c r="D120" i="9"/>
  <c r="D119" i="9"/>
  <c r="D117" i="9"/>
  <c r="D116" i="9"/>
  <c r="D115" i="9"/>
  <c r="D113" i="9"/>
  <c r="D112" i="9"/>
  <c r="D111" i="9"/>
  <c r="D109" i="9"/>
  <c r="D108" i="9"/>
  <c r="D107" i="9"/>
  <c r="D105" i="9"/>
  <c r="D104" i="9"/>
  <c r="D103" i="9"/>
  <c r="D98" i="9"/>
  <c r="D96" i="9"/>
  <c r="D94" i="9"/>
  <c r="D93" i="9"/>
  <c r="D92" i="9"/>
  <c r="D90" i="9"/>
  <c r="D89" i="9"/>
  <c r="D88" i="9"/>
  <c r="D86" i="9"/>
  <c r="D85" i="9"/>
  <c r="D84" i="9"/>
  <c r="D83" i="9"/>
  <c r="D81" i="9"/>
  <c r="D80" i="9"/>
  <c r="D79" i="9"/>
  <c r="D78" i="9"/>
  <c r="D77" i="9"/>
  <c r="D76" i="9"/>
  <c r="D71" i="9"/>
  <c r="D70" i="9"/>
  <c r="D69" i="9"/>
  <c r="D67" i="9"/>
  <c r="D66" i="9"/>
  <c r="D65" i="9"/>
  <c r="D64" i="9"/>
  <c r="D63" i="9"/>
  <c r="D61" i="9"/>
  <c r="D60" i="9"/>
  <c r="D59" i="9"/>
  <c r="D57" i="9"/>
  <c r="D56" i="9"/>
  <c r="D55" i="9"/>
  <c r="D54" i="9"/>
  <c r="D53" i="9"/>
  <c r="D52" i="9"/>
  <c r="D51" i="9"/>
  <c r="D50" i="9"/>
  <c r="D49" i="9"/>
  <c r="D43" i="9"/>
  <c r="D41" i="9"/>
  <c r="D40" i="9"/>
  <c r="D39" i="9"/>
  <c r="D38" i="9"/>
  <c r="D37" i="9"/>
  <c r="D36" i="9"/>
  <c r="D35" i="9"/>
  <c r="D34" i="9"/>
  <c r="D33" i="9"/>
  <c r="D31" i="9"/>
  <c r="D30" i="9"/>
  <c r="D29" i="9"/>
  <c r="D28" i="9"/>
  <c r="D26" i="9"/>
  <c r="D25" i="9"/>
  <c r="D24" i="9"/>
  <c r="D22" i="9"/>
  <c r="D21" i="9"/>
  <c r="D20" i="9"/>
  <c r="D19" i="9"/>
  <c r="D18" i="9"/>
  <c r="D17" i="9"/>
  <c r="D15" i="9"/>
  <c r="D194" i="8"/>
  <c r="D192" i="8"/>
  <c r="D190" i="8"/>
  <c r="D189" i="8"/>
  <c r="D188" i="8"/>
  <c r="D187" i="8"/>
  <c r="D186" i="8"/>
  <c r="D185" i="8"/>
  <c r="D181" i="8"/>
  <c r="D180" i="8"/>
  <c r="D178" i="8"/>
  <c r="D177" i="8"/>
  <c r="D176" i="8"/>
  <c r="D174" i="8"/>
  <c r="D173" i="8"/>
  <c r="D172" i="8"/>
  <c r="D170" i="8"/>
  <c r="D169" i="8"/>
  <c r="D168" i="8"/>
  <c r="D166" i="8"/>
  <c r="D164" i="8"/>
  <c r="D163" i="8"/>
  <c r="D161" i="8"/>
  <c r="D160" i="8"/>
  <c r="D159" i="8"/>
  <c r="D154" i="8"/>
  <c r="D152" i="8"/>
  <c r="D151" i="8"/>
  <c r="D150" i="8"/>
  <c r="D148" i="8"/>
  <c r="D146" i="8"/>
  <c r="D145" i="8"/>
  <c r="D143" i="8"/>
  <c r="D142" i="8"/>
  <c r="D141" i="8"/>
  <c r="D139" i="8"/>
  <c r="D138" i="8"/>
  <c r="D137" i="8"/>
  <c r="D135" i="8"/>
  <c r="D134" i="8"/>
  <c r="D133" i="8"/>
  <c r="D131" i="8"/>
  <c r="D130" i="8"/>
  <c r="D129" i="8"/>
  <c r="D124" i="8"/>
  <c r="D122" i="8"/>
  <c r="D120" i="8"/>
  <c r="D119" i="8"/>
  <c r="D117" i="8"/>
  <c r="D116" i="8"/>
  <c r="D115" i="8"/>
  <c r="D113" i="8"/>
  <c r="D112" i="8"/>
  <c r="D111" i="8"/>
  <c r="D109" i="8"/>
  <c r="D108" i="8"/>
  <c r="D107" i="8"/>
  <c r="D105" i="8"/>
  <c r="D104" i="8"/>
  <c r="D103" i="8"/>
  <c r="D98" i="8"/>
  <c r="D96" i="8"/>
  <c r="D94" i="8"/>
  <c r="D93" i="8"/>
  <c r="D92" i="8"/>
  <c r="D90" i="8"/>
  <c r="D89" i="8"/>
  <c r="D88" i="8"/>
  <c r="D86" i="8"/>
  <c r="D85" i="8"/>
  <c r="D84" i="8"/>
  <c r="D83" i="8"/>
  <c r="D81" i="8"/>
  <c r="D80" i="8"/>
  <c r="D79" i="8"/>
  <c r="D78" i="8"/>
  <c r="D77" i="8"/>
  <c r="D76" i="8"/>
  <c r="D71" i="8"/>
  <c r="D70" i="8"/>
  <c r="D69" i="8"/>
  <c r="D67" i="8"/>
  <c r="D66" i="8"/>
  <c r="D65" i="8"/>
  <c r="D64" i="8"/>
  <c r="D63" i="8"/>
  <c r="D61" i="8"/>
  <c r="D60" i="8"/>
  <c r="D59" i="8"/>
  <c r="D57" i="8"/>
  <c r="D56" i="8"/>
  <c r="D55" i="8"/>
  <c r="D54" i="8"/>
  <c r="D53" i="8"/>
  <c r="D52" i="8"/>
  <c r="D51" i="8"/>
  <c r="D50" i="8"/>
  <c r="D49" i="8"/>
  <c r="D43" i="8"/>
  <c r="D41" i="8"/>
  <c r="D40" i="8"/>
  <c r="D39" i="8"/>
  <c r="D38" i="8"/>
  <c r="D37" i="8"/>
  <c r="D36" i="8"/>
  <c r="D35" i="8"/>
  <c r="D34" i="8"/>
  <c r="D33" i="8"/>
  <c r="D31" i="8"/>
  <c r="D30" i="8"/>
  <c r="D29" i="8"/>
  <c r="D28" i="8"/>
  <c r="D26" i="8"/>
  <c r="D25" i="8"/>
  <c r="D24" i="8"/>
  <c r="D22" i="8"/>
  <c r="D21" i="8"/>
  <c r="D20" i="8"/>
  <c r="D19" i="8"/>
  <c r="D18" i="8"/>
  <c r="D17" i="8"/>
  <c r="D15" i="8"/>
  <c r="D194" i="7"/>
  <c r="D192" i="7"/>
  <c r="D190" i="7"/>
  <c r="D189" i="7"/>
  <c r="D188" i="7"/>
  <c r="D187" i="7"/>
  <c r="D186" i="7"/>
  <c r="D185" i="7"/>
  <c r="D181" i="7"/>
  <c r="D180" i="7"/>
  <c r="D178" i="7"/>
  <c r="D177" i="7"/>
  <c r="D176" i="7"/>
  <c r="D174" i="7"/>
  <c r="D173" i="7"/>
  <c r="D172" i="7"/>
  <c r="D170" i="7"/>
  <c r="D169" i="7"/>
  <c r="D168" i="7"/>
  <c r="D166" i="7"/>
  <c r="D164" i="7"/>
  <c r="D163" i="7"/>
  <c r="D161" i="7"/>
  <c r="D160" i="7"/>
  <c r="D159" i="7"/>
  <c r="D154" i="7"/>
  <c r="D152" i="7"/>
  <c r="D151" i="7"/>
  <c r="D150" i="7"/>
  <c r="D148" i="7"/>
  <c r="D146" i="7"/>
  <c r="D145" i="7"/>
  <c r="D143" i="7"/>
  <c r="D142" i="7"/>
  <c r="D141" i="7"/>
  <c r="D139" i="7"/>
  <c r="D138" i="7"/>
  <c r="D137" i="7"/>
  <c r="D135" i="7"/>
  <c r="D134" i="7"/>
  <c r="D133" i="7"/>
  <c r="D131" i="7"/>
  <c r="D130" i="7"/>
  <c r="D129" i="7"/>
  <c r="D124" i="7"/>
  <c r="D122" i="7"/>
  <c r="D120" i="7"/>
  <c r="D119" i="7"/>
  <c r="D117" i="7"/>
  <c r="D116" i="7"/>
  <c r="D115" i="7"/>
  <c r="D113" i="7"/>
  <c r="D112" i="7"/>
  <c r="D111" i="7"/>
  <c r="D109" i="7"/>
  <c r="D108" i="7"/>
  <c r="D107" i="7"/>
  <c r="D105" i="7"/>
  <c r="D104" i="7"/>
  <c r="D103" i="7"/>
  <c r="D98" i="7"/>
  <c r="D96" i="7"/>
  <c r="D94" i="7"/>
  <c r="D93" i="7"/>
  <c r="D92" i="7"/>
  <c r="D90" i="7"/>
  <c r="D89" i="7"/>
  <c r="D88" i="7"/>
  <c r="D86" i="7"/>
  <c r="D85" i="7"/>
  <c r="D84" i="7"/>
  <c r="D83" i="7"/>
  <c r="D81" i="7"/>
  <c r="D80" i="7"/>
  <c r="D79" i="7"/>
  <c r="D78" i="7"/>
  <c r="D77" i="7"/>
  <c r="D76" i="7"/>
  <c r="D71" i="7"/>
  <c r="D70" i="7"/>
  <c r="D69" i="7"/>
  <c r="D67" i="7"/>
  <c r="D66" i="7"/>
  <c r="D65" i="7"/>
  <c r="D64" i="7"/>
  <c r="D63" i="7"/>
  <c r="D61" i="7"/>
  <c r="D60" i="7"/>
  <c r="D59" i="7"/>
  <c r="D57" i="7"/>
  <c r="D56" i="7"/>
  <c r="D55" i="7"/>
  <c r="D54" i="7"/>
  <c r="D53" i="7"/>
  <c r="D52" i="7"/>
  <c r="D51" i="7"/>
  <c r="D50" i="7"/>
  <c r="D49" i="7"/>
  <c r="D43" i="7"/>
  <c r="D41" i="7"/>
  <c r="D40" i="7"/>
  <c r="D39" i="7"/>
  <c r="D38" i="7"/>
  <c r="D37" i="7"/>
  <c r="D36" i="7"/>
  <c r="D35" i="7"/>
  <c r="D34" i="7"/>
  <c r="D33" i="7"/>
  <c r="D31" i="7"/>
  <c r="D30" i="7"/>
  <c r="D29" i="7"/>
  <c r="D28" i="7"/>
  <c r="D26" i="7"/>
  <c r="D25" i="7"/>
  <c r="D24" i="7"/>
  <c r="D22" i="7"/>
  <c r="D21" i="7"/>
  <c r="D20" i="7"/>
  <c r="D19" i="7"/>
  <c r="D18" i="7"/>
  <c r="D17" i="7"/>
  <c r="D15" i="7"/>
  <c r="D194" i="6"/>
  <c r="D192" i="6"/>
  <c r="D190" i="6"/>
  <c r="D189" i="6"/>
  <c r="D188" i="6"/>
  <c r="D187" i="6"/>
  <c r="D186" i="6"/>
  <c r="D185" i="6"/>
  <c r="D181" i="6"/>
  <c r="D180" i="6"/>
  <c r="D178" i="6"/>
  <c r="D177" i="6"/>
  <c r="D176" i="6"/>
  <c r="D174" i="6"/>
  <c r="D173" i="6"/>
  <c r="D172" i="6"/>
  <c r="D170" i="6"/>
  <c r="D169" i="6"/>
  <c r="D168" i="6"/>
  <c r="D166" i="6"/>
  <c r="D164" i="6"/>
  <c r="D163" i="6"/>
  <c r="D161" i="6"/>
  <c r="D160" i="6"/>
  <c r="D159" i="6"/>
  <c r="D154" i="6"/>
  <c r="D152" i="6"/>
  <c r="D151" i="6"/>
  <c r="D150" i="6"/>
  <c r="D148" i="6"/>
  <c r="D146" i="6"/>
  <c r="D145" i="6"/>
  <c r="D143" i="6"/>
  <c r="D142" i="6"/>
  <c r="D141" i="6"/>
  <c r="D139" i="6"/>
  <c r="D138" i="6"/>
  <c r="D137" i="6"/>
  <c r="D135" i="6"/>
  <c r="D134" i="6"/>
  <c r="D133" i="6"/>
  <c r="D131" i="6"/>
  <c r="D130" i="6"/>
  <c r="D129" i="6"/>
  <c r="D124" i="6"/>
  <c r="D122" i="6"/>
  <c r="D120" i="6"/>
  <c r="D119" i="6"/>
  <c r="D117" i="6"/>
  <c r="D116" i="6"/>
  <c r="D115" i="6"/>
  <c r="D113" i="6"/>
  <c r="D112" i="6"/>
  <c r="D111" i="6"/>
  <c r="D109" i="6"/>
  <c r="D108" i="6"/>
  <c r="D107" i="6"/>
  <c r="D105" i="6"/>
  <c r="D104" i="6"/>
  <c r="D103" i="6"/>
  <c r="D98" i="6"/>
  <c r="D96" i="6"/>
  <c r="D94" i="6"/>
  <c r="D93" i="6"/>
  <c r="D92" i="6"/>
  <c r="D90" i="6"/>
  <c r="D89" i="6"/>
  <c r="D88" i="6"/>
  <c r="D86" i="6"/>
  <c r="D85" i="6"/>
  <c r="D84" i="6"/>
  <c r="D83" i="6"/>
  <c r="D81" i="6"/>
  <c r="D80" i="6"/>
  <c r="D79" i="6"/>
  <c r="D78" i="6"/>
  <c r="D77" i="6"/>
  <c r="D76" i="6"/>
  <c r="D71" i="6"/>
  <c r="D70" i="6"/>
  <c r="D69" i="6"/>
  <c r="D67" i="6"/>
  <c r="D66" i="6"/>
  <c r="D65" i="6"/>
  <c r="D64" i="6"/>
  <c r="D63" i="6"/>
  <c r="D61" i="6"/>
  <c r="D60" i="6"/>
  <c r="D59" i="6"/>
  <c r="D57" i="6"/>
  <c r="D56" i="6"/>
  <c r="D55" i="6"/>
  <c r="D54" i="6"/>
  <c r="D53" i="6"/>
  <c r="D52" i="6"/>
  <c r="D51" i="6"/>
  <c r="D50" i="6"/>
  <c r="D49" i="6"/>
  <c r="D43" i="6"/>
  <c r="D41" i="6"/>
  <c r="D40" i="6"/>
  <c r="D39" i="6"/>
  <c r="D38" i="6"/>
  <c r="D37" i="6"/>
  <c r="D36" i="6"/>
  <c r="D35" i="6"/>
  <c r="D34" i="6"/>
  <c r="D33" i="6"/>
  <c r="D31" i="6"/>
  <c r="D30" i="6"/>
  <c r="D29" i="6"/>
  <c r="D28" i="6"/>
  <c r="D26" i="6"/>
  <c r="D25" i="6"/>
  <c r="D24" i="6"/>
  <c r="D22" i="6"/>
  <c r="D21" i="6"/>
  <c r="D20" i="6"/>
  <c r="D19" i="6"/>
  <c r="D18" i="6"/>
  <c r="D17" i="6"/>
  <c r="D15" i="6"/>
  <c r="D194" i="5"/>
  <c r="D192" i="5"/>
  <c r="D190" i="5"/>
  <c r="D189" i="5"/>
  <c r="D188" i="5"/>
  <c r="D187" i="5"/>
  <c r="D186" i="5"/>
  <c r="D185" i="5"/>
  <c r="D181" i="5"/>
  <c r="D180" i="5"/>
  <c r="D178" i="5"/>
  <c r="D177" i="5"/>
  <c r="D176" i="5"/>
  <c r="D174" i="5"/>
  <c r="D173" i="5"/>
  <c r="D172" i="5"/>
  <c r="D170" i="5"/>
  <c r="D169" i="5"/>
  <c r="D168" i="5"/>
  <c r="D166" i="5"/>
  <c r="D164" i="5"/>
  <c r="D163" i="5"/>
  <c r="D161" i="5"/>
  <c r="D160" i="5"/>
  <c r="D159" i="5"/>
  <c r="D154" i="5"/>
  <c r="D152" i="5"/>
  <c r="D151" i="5"/>
  <c r="D150" i="5"/>
  <c r="D148" i="5"/>
  <c r="D146" i="5"/>
  <c r="D145" i="5"/>
  <c r="D143" i="5"/>
  <c r="D142" i="5"/>
  <c r="D141" i="5"/>
  <c r="D139" i="5"/>
  <c r="D138" i="5"/>
  <c r="D137" i="5"/>
  <c r="D135" i="5"/>
  <c r="D134" i="5"/>
  <c r="D133" i="5"/>
  <c r="D131" i="5"/>
  <c r="D130" i="5"/>
  <c r="D129" i="5"/>
  <c r="D124" i="5"/>
  <c r="D122" i="5"/>
  <c r="D120" i="5"/>
  <c r="D119" i="5"/>
  <c r="D117" i="5"/>
  <c r="D116" i="5"/>
  <c r="D115" i="5"/>
  <c r="D113" i="5"/>
  <c r="D112" i="5"/>
  <c r="D111" i="5"/>
  <c r="D109" i="5"/>
  <c r="D108" i="5"/>
  <c r="D107" i="5"/>
  <c r="D105" i="5"/>
  <c r="D104" i="5"/>
  <c r="D103" i="5"/>
  <c r="D98" i="5"/>
  <c r="D96" i="5"/>
  <c r="D94" i="5"/>
  <c r="D93" i="5"/>
  <c r="D92" i="5"/>
  <c r="D90" i="5"/>
  <c r="D89" i="5"/>
  <c r="D88" i="5"/>
  <c r="D86" i="5"/>
  <c r="D85" i="5"/>
  <c r="D84" i="5"/>
  <c r="D83" i="5"/>
  <c r="D81" i="5"/>
  <c r="D80" i="5"/>
  <c r="D79" i="5"/>
  <c r="D78" i="5"/>
  <c r="D77" i="5"/>
  <c r="D76" i="5"/>
  <c r="D71" i="5"/>
  <c r="D70" i="5"/>
  <c r="D69" i="5"/>
  <c r="D67" i="5"/>
  <c r="D66" i="5"/>
  <c r="D65" i="5"/>
  <c r="D64" i="5"/>
  <c r="D63" i="5"/>
  <c r="D61" i="5"/>
  <c r="D60" i="5"/>
  <c r="D59" i="5"/>
  <c r="D57" i="5"/>
  <c r="D56" i="5"/>
  <c r="D55" i="5"/>
  <c r="D54" i="5"/>
  <c r="D53" i="5"/>
  <c r="D52" i="5"/>
  <c r="D51" i="5"/>
  <c r="D50" i="5"/>
  <c r="D49" i="5"/>
  <c r="D43" i="5"/>
  <c r="D41" i="5"/>
  <c r="D40" i="5"/>
  <c r="D39" i="5"/>
  <c r="D38" i="5"/>
  <c r="D37" i="5"/>
  <c r="D36" i="5"/>
  <c r="D35" i="5"/>
  <c r="D34" i="5"/>
  <c r="D33" i="5"/>
  <c r="D31" i="5"/>
  <c r="D30" i="5"/>
  <c r="D29" i="5"/>
  <c r="D28" i="5"/>
  <c r="D26" i="5"/>
  <c r="D25" i="5"/>
  <c r="D24" i="5"/>
  <c r="D22" i="5"/>
  <c r="D21" i="5"/>
  <c r="D20" i="5"/>
  <c r="D19" i="5"/>
  <c r="D18" i="5"/>
  <c r="D17" i="5"/>
  <c r="D15" i="5"/>
  <c r="D194" i="2"/>
  <c r="D192" i="2"/>
  <c r="D190" i="2"/>
  <c r="D189" i="2"/>
  <c r="D188" i="2"/>
  <c r="D187" i="2"/>
  <c r="D186" i="2"/>
  <c r="D185" i="2"/>
  <c r="D181" i="2"/>
  <c r="D180" i="2"/>
  <c r="D178" i="2"/>
  <c r="D177" i="2"/>
  <c r="D176" i="2"/>
  <c r="D174" i="2"/>
  <c r="D173" i="2"/>
  <c r="D172" i="2"/>
  <c r="D170" i="2"/>
  <c r="D169" i="2"/>
  <c r="D168" i="2"/>
  <c r="D166" i="2"/>
  <c r="D164" i="2"/>
  <c r="D163" i="2"/>
  <c r="D161" i="2"/>
  <c r="D160" i="2"/>
  <c r="D159" i="2"/>
  <c r="D154" i="2"/>
  <c r="D152" i="2"/>
  <c r="D151" i="2"/>
  <c r="D150" i="2"/>
  <c r="D148" i="2"/>
  <c r="D146" i="2"/>
  <c r="D145" i="2"/>
  <c r="D143" i="2"/>
  <c r="D142" i="2"/>
  <c r="D141" i="2"/>
  <c r="D139" i="2"/>
  <c r="D138" i="2"/>
  <c r="D137" i="2"/>
  <c r="D135" i="2"/>
  <c r="D134" i="2"/>
  <c r="D133" i="2"/>
  <c r="D131" i="2"/>
  <c r="D130" i="2"/>
  <c r="D129" i="2"/>
  <c r="D124" i="2"/>
  <c r="D122" i="2"/>
  <c r="D120" i="2"/>
  <c r="D119" i="2"/>
  <c r="D117" i="2"/>
  <c r="D116" i="2"/>
  <c r="D115" i="2"/>
  <c r="D113" i="2"/>
  <c r="D112" i="2"/>
  <c r="D111" i="2"/>
  <c r="D109" i="2"/>
  <c r="D108" i="2"/>
  <c r="D107" i="2"/>
  <c r="D105" i="2"/>
  <c r="D104" i="2"/>
  <c r="D103" i="2"/>
  <c r="D98" i="2"/>
  <c r="D96" i="2"/>
  <c r="D94" i="2"/>
  <c r="D93" i="2"/>
  <c r="D92" i="2"/>
  <c r="D90" i="2"/>
  <c r="D89" i="2"/>
  <c r="D88" i="2"/>
  <c r="D86" i="2"/>
  <c r="D85" i="2"/>
  <c r="D84" i="2"/>
  <c r="D83" i="2"/>
  <c r="D81" i="2"/>
  <c r="D80" i="2"/>
  <c r="D79" i="2"/>
  <c r="D78" i="2"/>
  <c r="D77" i="2"/>
  <c r="D76" i="2"/>
  <c r="D71" i="2"/>
  <c r="D70" i="2"/>
  <c r="D69" i="2"/>
  <c r="D67" i="2"/>
  <c r="D66" i="2"/>
  <c r="D65" i="2"/>
  <c r="D64" i="2"/>
  <c r="D63" i="2"/>
  <c r="D61" i="2"/>
  <c r="D60" i="2"/>
  <c r="D59" i="2"/>
  <c r="D57" i="2"/>
  <c r="D56" i="2"/>
  <c r="D55" i="2"/>
  <c r="D54" i="2"/>
  <c r="D53" i="2"/>
  <c r="D52" i="2"/>
  <c r="D51" i="2"/>
  <c r="D50" i="2"/>
  <c r="D49" i="2"/>
  <c r="D43" i="2"/>
  <c r="D41" i="2"/>
  <c r="D40" i="2"/>
  <c r="D39" i="2"/>
  <c r="D38" i="2"/>
  <c r="D37" i="2"/>
  <c r="D36" i="2"/>
  <c r="D35" i="2"/>
  <c r="D34" i="2"/>
  <c r="D33" i="2"/>
  <c r="D31" i="2"/>
  <c r="D30" i="2"/>
  <c r="D29" i="2"/>
  <c r="D28" i="2"/>
  <c r="D26" i="2"/>
  <c r="D25" i="2"/>
  <c r="D24" i="2"/>
  <c r="D22" i="2"/>
  <c r="D21" i="2"/>
  <c r="D20" i="2"/>
  <c r="D19" i="2"/>
  <c r="D18" i="2"/>
  <c r="D17" i="2"/>
  <c r="D15" i="2"/>
  <c r="D194" i="1"/>
  <c r="D192" i="1"/>
  <c r="D190" i="1"/>
  <c r="D189" i="1"/>
  <c r="D188" i="1"/>
  <c r="D187" i="1"/>
  <c r="D186" i="1"/>
  <c r="D185" i="1"/>
  <c r="D181" i="1"/>
  <c r="D180" i="1"/>
  <c r="D178" i="1"/>
  <c r="D177" i="1"/>
  <c r="D176" i="1"/>
  <c r="D174" i="1"/>
  <c r="D173" i="1"/>
  <c r="D172" i="1"/>
  <c r="D170" i="1"/>
  <c r="D169" i="1"/>
  <c r="D168" i="1"/>
  <c r="D166" i="1"/>
  <c r="D164" i="1"/>
  <c r="D163" i="1"/>
  <c r="D161" i="1"/>
  <c r="D160" i="1"/>
  <c r="D159" i="1"/>
  <c r="D154" i="1"/>
  <c r="D152" i="1"/>
  <c r="D151" i="1"/>
  <c r="D150" i="1"/>
  <c r="D148" i="1"/>
  <c r="D146" i="1"/>
  <c r="D145" i="1"/>
  <c r="D143" i="1"/>
  <c r="D142" i="1"/>
  <c r="D141" i="1"/>
  <c r="D139" i="1"/>
  <c r="D138" i="1"/>
  <c r="D137" i="1"/>
  <c r="D135" i="1"/>
  <c r="D134" i="1"/>
  <c r="D133" i="1"/>
  <c r="D131" i="1"/>
  <c r="D130" i="1"/>
  <c r="D129" i="1"/>
  <c r="D124" i="1"/>
  <c r="D122" i="1"/>
  <c r="D120" i="1"/>
  <c r="D119" i="1"/>
  <c r="D117" i="1"/>
  <c r="D116" i="1"/>
  <c r="D115" i="1"/>
  <c r="D113" i="1"/>
  <c r="D112" i="1"/>
  <c r="D111" i="1"/>
  <c r="D109" i="1"/>
  <c r="D108" i="1"/>
  <c r="D107" i="1"/>
  <c r="D105" i="1"/>
  <c r="D104" i="1"/>
  <c r="D103" i="1"/>
  <c r="D98" i="1"/>
  <c r="D96" i="1"/>
  <c r="D94" i="1"/>
  <c r="D93" i="1"/>
  <c r="D92" i="1"/>
  <c r="D90" i="1"/>
  <c r="D89" i="1"/>
  <c r="D88" i="1"/>
  <c r="D86" i="1"/>
  <c r="D85" i="1"/>
  <c r="D84" i="1"/>
  <c r="D83" i="1"/>
  <c r="D81" i="1"/>
  <c r="D80" i="1"/>
  <c r="D79" i="1"/>
  <c r="D78" i="1"/>
  <c r="D77" i="1"/>
  <c r="D76" i="1"/>
  <c r="D71" i="1"/>
  <c r="D70" i="1"/>
  <c r="D69" i="1"/>
  <c r="D67" i="1"/>
  <c r="D66" i="1"/>
  <c r="D65" i="1"/>
  <c r="D64" i="1"/>
  <c r="D63" i="1"/>
  <c r="D61" i="1"/>
  <c r="D60" i="1"/>
  <c r="D59" i="1"/>
  <c r="D57" i="1"/>
  <c r="D56" i="1"/>
  <c r="D55" i="1"/>
  <c r="D54" i="1"/>
  <c r="D53" i="1"/>
  <c r="D52" i="1"/>
  <c r="D51" i="1"/>
  <c r="D50" i="1"/>
  <c r="D49" i="1"/>
  <c r="D43" i="1"/>
  <c r="D41" i="1"/>
  <c r="D40" i="1"/>
  <c r="D39" i="1"/>
  <c r="D38" i="1"/>
  <c r="D37" i="1"/>
  <c r="D36" i="1"/>
  <c r="D35" i="1"/>
  <c r="D34" i="1"/>
  <c r="D33" i="1"/>
  <c r="D31" i="1"/>
  <c r="D30" i="1"/>
  <c r="D29" i="1"/>
  <c r="D28" i="1"/>
  <c r="D26" i="1"/>
  <c r="D25" i="1"/>
  <c r="D24" i="1"/>
  <c r="D22" i="1"/>
  <c r="D21" i="1"/>
  <c r="D20" i="1"/>
  <c r="D19" i="1"/>
  <c r="D18" i="1"/>
  <c r="D17" i="1"/>
  <c r="D15" i="1"/>
  <c r="D194" i="4"/>
  <c r="D192" i="4"/>
  <c r="D190" i="4"/>
  <c r="D189" i="4"/>
  <c r="D188" i="4"/>
  <c r="D187" i="4"/>
  <c r="D186" i="4"/>
  <c r="D185" i="4"/>
  <c r="D181" i="4"/>
  <c r="D180" i="4"/>
  <c r="D178" i="4"/>
  <c r="D177" i="4"/>
  <c r="D176" i="4"/>
  <c r="D174" i="4"/>
  <c r="D173" i="4"/>
  <c r="D172" i="4"/>
  <c r="D170" i="4"/>
  <c r="D169" i="4"/>
  <c r="D168" i="4"/>
  <c r="D166" i="4"/>
  <c r="D164" i="4"/>
  <c r="D163" i="4"/>
  <c r="D161" i="4"/>
  <c r="D160" i="4"/>
  <c r="D159" i="4"/>
  <c r="D154" i="4"/>
  <c r="D152" i="4"/>
  <c r="D151" i="4"/>
  <c r="D150" i="4"/>
  <c r="D148" i="4"/>
  <c r="D146" i="4"/>
  <c r="D145" i="4"/>
  <c r="D143" i="4"/>
  <c r="D142" i="4"/>
  <c r="D141" i="4"/>
  <c r="D139" i="4"/>
  <c r="D138" i="4"/>
  <c r="D137" i="4"/>
  <c r="D135" i="4"/>
  <c r="D134" i="4"/>
  <c r="D133" i="4"/>
  <c r="D131" i="4"/>
  <c r="D130" i="4"/>
  <c r="D129" i="4"/>
  <c r="D124" i="4"/>
  <c r="D122" i="4"/>
  <c r="D120" i="4"/>
  <c r="D119" i="4"/>
  <c r="D117" i="4"/>
  <c r="D116" i="4"/>
  <c r="D115" i="4"/>
  <c r="D113" i="4"/>
  <c r="D112" i="4"/>
  <c r="D111" i="4"/>
  <c r="D109" i="4"/>
  <c r="D108" i="4"/>
  <c r="D107" i="4"/>
  <c r="D105" i="4"/>
  <c r="D104" i="4"/>
  <c r="D103" i="4"/>
  <c r="D98" i="4"/>
  <c r="D96" i="4"/>
  <c r="D94" i="4"/>
  <c r="D93" i="4"/>
  <c r="D92" i="4"/>
  <c r="D90" i="4"/>
  <c r="D89" i="4"/>
  <c r="D88" i="4"/>
  <c r="D86" i="4"/>
  <c r="D85" i="4"/>
  <c r="D84" i="4"/>
  <c r="D83" i="4"/>
  <c r="D81" i="4"/>
  <c r="D80" i="4"/>
  <c r="D79" i="4"/>
  <c r="D78" i="4"/>
  <c r="D77" i="4"/>
  <c r="D76" i="4"/>
  <c r="D71" i="4"/>
  <c r="D70" i="4"/>
  <c r="D69" i="4"/>
  <c r="D67" i="4"/>
  <c r="D66" i="4"/>
  <c r="D65" i="4"/>
  <c r="D64" i="4"/>
  <c r="D63" i="4"/>
  <c r="D61" i="4"/>
  <c r="D60" i="4"/>
  <c r="D59" i="4"/>
  <c r="D57" i="4"/>
  <c r="D56" i="4"/>
  <c r="D55" i="4"/>
  <c r="D54" i="4"/>
  <c r="D53" i="4"/>
  <c r="D52" i="4"/>
  <c r="D51" i="4"/>
  <c r="D50" i="4"/>
  <c r="D49" i="4"/>
  <c r="D43" i="4"/>
  <c r="D41" i="4"/>
  <c r="D40" i="4"/>
  <c r="D39" i="4"/>
  <c r="D38" i="4"/>
  <c r="D37" i="4"/>
  <c r="D36" i="4"/>
  <c r="D35" i="4"/>
  <c r="D34" i="4"/>
  <c r="D33" i="4"/>
  <c r="D31" i="4"/>
  <c r="D30" i="4"/>
  <c r="D29" i="4"/>
  <c r="D28" i="4"/>
  <c r="D26" i="4"/>
  <c r="D25" i="4"/>
  <c r="D24" i="4"/>
  <c r="D22" i="4"/>
  <c r="D21" i="4"/>
  <c r="D20" i="4"/>
  <c r="D19" i="4"/>
  <c r="D18" i="4"/>
  <c r="D17" i="4"/>
  <c r="D15" i="4"/>
  <c r="D194" i="3"/>
  <c r="D192" i="3"/>
  <c r="D190" i="3"/>
  <c r="D189" i="3"/>
  <c r="D188" i="3"/>
  <c r="D187" i="3"/>
  <c r="D186" i="3"/>
  <c r="D185" i="3"/>
  <c r="D181" i="3"/>
  <c r="D180" i="3"/>
  <c r="D178" i="3"/>
  <c r="D177" i="3"/>
  <c r="D176" i="3"/>
  <c r="D174" i="3"/>
  <c r="D173" i="3"/>
  <c r="D172" i="3"/>
  <c r="D170" i="3"/>
  <c r="D169" i="3"/>
  <c r="D168" i="3"/>
  <c r="D166" i="3"/>
  <c r="D164" i="3"/>
  <c r="D163" i="3"/>
  <c r="D161" i="3"/>
  <c r="D160" i="3"/>
  <c r="D159" i="3"/>
  <c r="D154" i="3"/>
  <c r="D152" i="3"/>
  <c r="D151" i="3"/>
  <c r="D150" i="3"/>
  <c r="D148" i="3"/>
  <c r="D146" i="3"/>
  <c r="D145" i="3"/>
  <c r="D143" i="3"/>
  <c r="D142" i="3"/>
  <c r="D141" i="3"/>
  <c r="D139" i="3"/>
  <c r="D138" i="3"/>
  <c r="D137" i="3"/>
  <c r="D135" i="3"/>
  <c r="D134" i="3"/>
  <c r="D133" i="3"/>
  <c r="D131" i="3"/>
  <c r="D130" i="3"/>
  <c r="D129" i="3"/>
  <c r="D124" i="3"/>
  <c r="D122" i="3"/>
  <c r="D120" i="3"/>
  <c r="D119" i="3"/>
  <c r="D117" i="3"/>
  <c r="D116" i="3"/>
  <c r="D115" i="3"/>
  <c r="D113" i="3"/>
  <c r="D112" i="3"/>
  <c r="D111" i="3"/>
  <c r="D109" i="3"/>
  <c r="D108" i="3"/>
  <c r="D107" i="3"/>
  <c r="D105" i="3"/>
  <c r="D104" i="3"/>
  <c r="D103" i="3"/>
  <c r="D98" i="3"/>
  <c r="D96" i="3"/>
  <c r="D94" i="3"/>
  <c r="D93" i="3"/>
  <c r="D92" i="3"/>
  <c r="D90" i="3"/>
  <c r="D89" i="3"/>
  <c r="D88" i="3"/>
  <c r="D86" i="3"/>
  <c r="D85" i="3"/>
  <c r="D84" i="3"/>
  <c r="D83" i="3"/>
  <c r="D81" i="3"/>
  <c r="D80" i="3"/>
  <c r="D79" i="3"/>
  <c r="D78" i="3"/>
  <c r="D77" i="3"/>
  <c r="D76" i="3"/>
  <c r="D71" i="3"/>
  <c r="D70" i="3"/>
  <c r="D69" i="3"/>
  <c r="D67" i="3"/>
  <c r="D66" i="3"/>
  <c r="D65" i="3"/>
  <c r="D64" i="3"/>
  <c r="D63" i="3"/>
  <c r="D61" i="3"/>
  <c r="D60" i="3"/>
  <c r="D59" i="3"/>
  <c r="D57" i="3"/>
  <c r="D56" i="3"/>
  <c r="D55" i="3"/>
  <c r="D54" i="3"/>
  <c r="D53" i="3"/>
  <c r="D52" i="3"/>
  <c r="D51" i="3"/>
  <c r="D50" i="3"/>
  <c r="D49" i="3"/>
  <c r="D43" i="3"/>
  <c r="D41" i="3"/>
  <c r="D40" i="3"/>
  <c r="D39" i="3"/>
  <c r="D38" i="3"/>
  <c r="D37" i="3"/>
  <c r="D36" i="3"/>
  <c r="D35" i="3"/>
  <c r="D34" i="3"/>
  <c r="D33" i="3"/>
  <c r="D31" i="3"/>
  <c r="D30" i="3"/>
  <c r="D29" i="3"/>
  <c r="D28" i="3"/>
  <c r="D26" i="3"/>
  <c r="D25" i="3"/>
  <c r="D24" i="3"/>
  <c r="D22" i="3"/>
  <c r="D21" i="3"/>
  <c r="D20" i="3"/>
  <c r="D19" i="3"/>
  <c r="D18" i="3"/>
  <c r="D17" i="3"/>
  <c r="D15" i="3"/>
  <c r="C22" i="11" l="1"/>
  <c r="D45" i="10"/>
  <c r="G14" i="10" s="1"/>
  <c r="C13" i="11" s="1"/>
  <c r="D72" i="10"/>
  <c r="G15" i="10" s="1"/>
  <c r="D12" i="11" s="1"/>
  <c r="D125" i="10"/>
  <c r="G17" i="10" s="1"/>
  <c r="F13" i="11" s="1"/>
  <c r="D182" i="10"/>
  <c r="G19" i="10" s="1"/>
  <c r="H13" i="11" s="1"/>
  <c r="D99" i="10"/>
  <c r="G16" i="10" s="1"/>
  <c r="E13" i="11" s="1"/>
  <c r="D195" i="10"/>
  <c r="G20" i="10" s="1"/>
  <c r="I13" i="11" s="1"/>
  <c r="D99" i="9"/>
  <c r="G16" i="9" s="1"/>
  <c r="E12" i="11" s="1"/>
  <c r="D72" i="9"/>
  <c r="G15" i="9" s="1"/>
  <c r="D13" i="11" s="1"/>
  <c r="D125" i="9"/>
  <c r="G17" i="9" s="1"/>
  <c r="F12" i="11" s="1"/>
  <c r="D155" i="9"/>
  <c r="G18" i="9" s="1"/>
  <c r="G12" i="11" s="1"/>
  <c r="D155" i="8"/>
  <c r="G18" i="8" s="1"/>
  <c r="G11" i="11" s="1"/>
  <c r="D99" i="8"/>
  <c r="G16" i="8" s="1"/>
  <c r="E11" i="11" s="1"/>
  <c r="D195" i="8"/>
  <c r="G20" i="8" s="1"/>
  <c r="I11" i="11" s="1"/>
  <c r="D45" i="8"/>
  <c r="G14" i="8" s="1"/>
  <c r="C11" i="11" s="1"/>
  <c r="D72" i="8"/>
  <c r="G15" i="8" s="1"/>
  <c r="D11" i="11" s="1"/>
  <c r="D125" i="8"/>
  <c r="G17" i="8" s="1"/>
  <c r="F11" i="11" s="1"/>
  <c r="D72" i="7"/>
  <c r="G15" i="7" s="1"/>
  <c r="D10" i="11" s="1"/>
  <c r="D182" i="7"/>
  <c r="G19" i="7" s="1"/>
  <c r="H10" i="11" s="1"/>
  <c r="D195" i="7"/>
  <c r="G20" i="7" s="1"/>
  <c r="I10" i="11" s="1"/>
  <c r="D155" i="7"/>
  <c r="G18" i="7" s="1"/>
  <c r="G10" i="11" s="1"/>
  <c r="D99" i="7"/>
  <c r="G16" i="7" s="1"/>
  <c r="E10" i="11" s="1"/>
  <c r="D125" i="7"/>
  <c r="G17" i="7" s="1"/>
  <c r="F10" i="11" s="1"/>
  <c r="D72" i="6"/>
  <c r="G15" i="6" s="1"/>
  <c r="D9" i="11" s="1"/>
  <c r="D182" i="6"/>
  <c r="G19" i="6" s="1"/>
  <c r="H9" i="11" s="1"/>
  <c r="D125" i="6"/>
  <c r="G17" i="6" s="1"/>
  <c r="F9" i="11" s="1"/>
  <c r="D155" i="6"/>
  <c r="G18" i="6" s="1"/>
  <c r="G9" i="11" s="1"/>
  <c r="D195" i="6"/>
  <c r="G20" i="6" s="1"/>
  <c r="I9" i="11" s="1"/>
  <c r="D155" i="5"/>
  <c r="G18" i="5" s="1"/>
  <c r="G8" i="11" s="1"/>
  <c r="D99" i="5"/>
  <c r="G16" i="5" s="1"/>
  <c r="E8" i="11" s="1"/>
  <c r="D182" i="5"/>
  <c r="G19" i="5" s="1"/>
  <c r="H8" i="11" s="1"/>
  <c r="D125" i="5"/>
  <c r="G17" i="5" s="1"/>
  <c r="F8" i="11" s="1"/>
  <c r="D45" i="5"/>
  <c r="G14" i="5" s="1"/>
  <c r="C8" i="11" s="1"/>
  <c r="D195" i="5"/>
  <c r="G20" i="5" s="1"/>
  <c r="I8" i="11" s="1"/>
  <c r="D195" i="4"/>
  <c r="G20" i="4" s="1"/>
  <c r="I7" i="11" s="1"/>
  <c r="D125" i="4"/>
  <c r="G17" i="4" s="1"/>
  <c r="F7" i="11" s="1"/>
  <c r="D125" i="2"/>
  <c r="G17" i="2" s="1"/>
  <c r="F5" i="11" s="1"/>
  <c r="D182" i="2"/>
  <c r="G19" i="2" s="1"/>
  <c r="H5" i="11" s="1"/>
  <c r="D195" i="2"/>
  <c r="G20" i="2" s="1"/>
  <c r="I5" i="11" s="1"/>
  <c r="D155" i="2"/>
  <c r="G18" i="2" s="1"/>
  <c r="G5" i="11" s="1"/>
  <c r="D99" i="2"/>
  <c r="G16" i="2" s="1"/>
  <c r="E5" i="11" s="1"/>
  <c r="D72" i="2"/>
  <c r="G15" i="2" s="1"/>
  <c r="D5" i="11" s="1"/>
  <c r="D99" i="1"/>
  <c r="G16" i="1" s="1"/>
  <c r="E4" i="11" s="1"/>
  <c r="D125" i="1"/>
  <c r="G17" i="1" s="1"/>
  <c r="F4" i="11" s="1"/>
  <c r="D72" i="1"/>
  <c r="G15" i="1" s="1"/>
  <c r="D4" i="11" s="1"/>
  <c r="D195" i="1"/>
  <c r="G20" i="1" s="1"/>
  <c r="I4" i="11" s="1"/>
  <c r="D155" i="1"/>
  <c r="G18" i="1" s="1"/>
  <c r="G4" i="11" s="1"/>
  <c r="D182" i="1"/>
  <c r="G19" i="1" s="1"/>
  <c r="H4" i="11" s="1"/>
  <c r="D155" i="10"/>
  <c r="G18" i="10" s="1"/>
  <c r="G13" i="11" s="1"/>
  <c r="F28" i="11"/>
  <c r="G16" i="17"/>
  <c r="C27" i="11"/>
  <c r="F27" i="11" s="1"/>
  <c r="E30" i="11"/>
  <c r="D30" i="11"/>
  <c r="F26" i="11"/>
  <c r="C30" i="11"/>
  <c r="G16" i="15"/>
  <c r="D182" i="9"/>
  <c r="G19" i="9" s="1"/>
  <c r="H12" i="11" s="1"/>
  <c r="D72" i="5"/>
  <c r="G15" i="5" s="1"/>
  <c r="D8" i="11" s="1"/>
  <c r="J8" i="11" s="1"/>
  <c r="D195" i="9"/>
  <c r="G20" i="9" s="1"/>
  <c r="I12" i="11" s="1"/>
  <c r="D182" i="8"/>
  <c r="G19" i="8" s="1"/>
  <c r="H11" i="11" s="1"/>
  <c r="D45" i="7"/>
  <c r="G14" i="7" s="1"/>
  <c r="C10" i="11" s="1"/>
  <c r="J10" i="11" s="1"/>
  <c r="D99" i="6"/>
  <c r="G16" i="6" s="1"/>
  <c r="E9" i="11" s="1"/>
  <c r="D45" i="4"/>
  <c r="G14" i="4" s="1"/>
  <c r="C7" i="11" s="1"/>
  <c r="D45" i="2"/>
  <c r="G14" i="2" s="1"/>
  <c r="C5" i="11" s="1"/>
  <c r="D45" i="9"/>
  <c r="G14" i="9" s="1"/>
  <c r="C12" i="11" s="1"/>
  <c r="D45" i="6"/>
  <c r="G14" i="6" s="1"/>
  <c r="C9" i="11" s="1"/>
  <c r="D99" i="3"/>
  <c r="G16" i="3" s="1"/>
  <c r="E6" i="11" s="1"/>
  <c r="D155" i="3"/>
  <c r="G18" i="3" s="1"/>
  <c r="G6" i="11" s="1"/>
  <c r="D45" i="3"/>
  <c r="G14" i="3" s="1"/>
  <c r="C6" i="11" s="1"/>
  <c r="J6" i="11" s="1"/>
  <c r="D72" i="3"/>
  <c r="G15" i="3" s="1"/>
  <c r="D6" i="11" s="1"/>
  <c r="D182" i="3"/>
  <c r="G19" i="3" s="1"/>
  <c r="H6" i="11" s="1"/>
  <c r="D125" i="3"/>
  <c r="G17" i="3" s="1"/>
  <c r="F6" i="11" s="1"/>
  <c r="D195" i="3"/>
  <c r="G20" i="3" s="1"/>
  <c r="I6" i="11" s="1"/>
  <c r="D45" i="1"/>
  <c r="G14" i="1" s="1"/>
  <c r="C4" i="11" s="1"/>
  <c r="D155" i="4"/>
  <c r="G18" i="4" s="1"/>
  <c r="G7" i="11" s="1"/>
  <c r="D99" i="4"/>
  <c r="G16" i="4" s="1"/>
  <c r="E7" i="11" s="1"/>
  <c r="D182" i="4"/>
  <c r="G19" i="4" s="1"/>
  <c r="H7" i="11" s="1"/>
  <c r="D72" i="4"/>
  <c r="G15" i="4" s="1"/>
  <c r="D7" i="11" s="1"/>
  <c r="J7" i="11" l="1"/>
  <c r="J13" i="11"/>
  <c r="F15" i="11"/>
  <c r="B36" i="11" s="1"/>
  <c r="G15" i="11"/>
  <c r="B37" i="11" s="1"/>
  <c r="J5" i="11"/>
  <c r="D15" i="11"/>
  <c r="B34" i="11" s="1"/>
  <c r="F30" i="11"/>
  <c r="J12" i="11"/>
  <c r="I15" i="11"/>
  <c r="B39" i="11" s="1"/>
  <c r="J11" i="11"/>
  <c r="H15" i="11"/>
  <c r="B38" i="11" s="1"/>
  <c r="J9" i="11"/>
  <c r="E15" i="11"/>
  <c r="B35" i="11" s="1"/>
  <c r="J4" i="11"/>
  <c r="C15" i="11"/>
  <c r="B33" i="11" s="1"/>
  <c r="J15" i="11" l="1"/>
  <c r="B40" i="11" s="1"/>
</calcChain>
</file>

<file path=xl/sharedStrings.xml><?xml version="1.0" encoding="utf-8"?>
<sst xmlns="http://schemas.openxmlformats.org/spreadsheetml/2006/main" count="2415" uniqueCount="205">
  <si>
    <t>SALES EXECUTIVES</t>
  </si>
  <si>
    <t>DATE</t>
  </si>
  <si>
    <t>MEET &amp; GREET</t>
  </si>
  <si>
    <t>QUALIFICATION</t>
  </si>
  <si>
    <t>VEHICLE PRESENTATION</t>
  </si>
  <si>
    <t>VEHICLE DEMONSTRATION</t>
  </si>
  <si>
    <t>NEGOTIATION &amp; CLOSING</t>
  </si>
  <si>
    <t>DELIVERY &amp; FOLLOW UP</t>
  </si>
  <si>
    <t>BYD SPECIFIC REQUIREMENTS</t>
  </si>
  <si>
    <t>TOTAL AVERAGE SCORE</t>
  </si>
  <si>
    <t>Average Scores (Completed)</t>
  </si>
  <si>
    <t>GROs</t>
  </si>
  <si>
    <t xml:space="preserve">Average Score </t>
  </si>
  <si>
    <t>HANDOVER SPECIALIST</t>
  </si>
  <si>
    <t>BRAND SPECIFIC REQUIREMENTS</t>
  </si>
  <si>
    <t>TOTAL SCORE</t>
  </si>
  <si>
    <t>Score</t>
  </si>
  <si>
    <t>Pass</t>
  </si>
  <si>
    <t xml:space="preserve">Fail </t>
  </si>
  <si>
    <t>Max</t>
  </si>
  <si>
    <t>Total Average Score</t>
  </si>
  <si>
    <t>SKILLS EVALUATION ASSESSMENT</t>
  </si>
  <si>
    <t>Date</t>
  </si>
  <si>
    <t>Brand</t>
  </si>
  <si>
    <t>Dealership</t>
  </si>
  <si>
    <t>Position</t>
  </si>
  <si>
    <t xml:space="preserve">Name </t>
  </si>
  <si>
    <t>Participant 1</t>
  </si>
  <si>
    <t>Start Date</t>
  </si>
  <si>
    <t>Assessor</t>
  </si>
  <si>
    <t>IQA</t>
  </si>
  <si>
    <t>TASK 1</t>
  </si>
  <si>
    <t>Y/N</t>
  </si>
  <si>
    <t>Initial Engagement</t>
  </si>
  <si>
    <t>Approaches customer promptly</t>
  </si>
  <si>
    <t>No</t>
  </si>
  <si>
    <t>Thank Customer for their interest in the brand</t>
  </si>
  <si>
    <t>Displays positive body language</t>
  </si>
  <si>
    <t>Uses friendly and professional tone</t>
  </si>
  <si>
    <t>Provides a warm and personalized welcome</t>
  </si>
  <si>
    <t>Introduces self by name and role</t>
  </si>
  <si>
    <t>Demonstrates cultural sensitivity</t>
  </si>
  <si>
    <t>Name / Surname</t>
  </si>
  <si>
    <t>Professional Appearance</t>
  </si>
  <si>
    <t>Follows dress code</t>
  </si>
  <si>
    <t>Maintains neat grooming</t>
  </si>
  <si>
    <t>Wears visible name badge (If not brand required mark as "YES" even if not being worn)</t>
  </si>
  <si>
    <t xml:space="preserve">Environment Set Up </t>
  </si>
  <si>
    <t>Showroom is clean and organized</t>
  </si>
  <si>
    <t>Desk is clean, organized and lacks clutter</t>
  </si>
  <si>
    <t>Sales materials are readily available</t>
  </si>
  <si>
    <t>Offers comfort (e.g., water, seating)</t>
  </si>
  <si>
    <t>Communication</t>
  </si>
  <si>
    <t>Clear voice &amp; tone</t>
  </si>
  <si>
    <t>Enthusiastic and positive energy</t>
  </si>
  <si>
    <t>Confidence</t>
  </si>
  <si>
    <t>Show understanding and empathy</t>
  </si>
  <si>
    <t>Questioning techniques</t>
  </si>
  <si>
    <t>Building rapport and relationship</t>
  </si>
  <si>
    <t>Demonstrate active listening skills</t>
  </si>
  <si>
    <t xml:space="preserve">Always using the customer name / title </t>
  </si>
  <si>
    <t xml:space="preserve">Appropriate Body Language </t>
  </si>
  <si>
    <t>Progress through the Sales Process</t>
  </si>
  <si>
    <t>Smooth transition into the Qualification stage</t>
  </si>
  <si>
    <t>TASK 2</t>
  </si>
  <si>
    <t>Confirmation / Qualification</t>
  </si>
  <si>
    <t>Identifies primary vehicle purpose</t>
  </si>
  <si>
    <t>Identify the elements of SPECIT that are most improtant to the customer</t>
  </si>
  <si>
    <t>Confirm current ownership of a vehicle</t>
  </si>
  <si>
    <t>Confirm key requirements for new vehicle</t>
  </si>
  <si>
    <t>Confirm if they have considered any other brands / vehicles</t>
  </si>
  <si>
    <t>What is your timeline? (Buying ASAP vs. browsing and waiting)</t>
  </si>
  <si>
    <t>How were you thinking of paying for your new vehicle; cash, financing or leasing?</t>
  </si>
  <si>
    <t xml:space="preserve">What is the Budget </t>
  </si>
  <si>
    <t>Will you be selling / trading-in your current vehicle?  (In KSA input "Yes")</t>
  </si>
  <si>
    <t>Competitor research All role play assessors are to stake they have looked at another vehicle</t>
  </si>
  <si>
    <t>If Q 51 = "Yes", Did they ask what the customer liked about the other vehicle</t>
  </si>
  <si>
    <t>If Q 51 = "Yes", Did they ask if the customer had taken th evehicle for a Test Drive</t>
  </si>
  <si>
    <t>If Q 51 = "Yes", Did they ask what prices had been quoted for the other vehicle</t>
  </si>
  <si>
    <t>Data verification (If not already obtained)</t>
  </si>
  <si>
    <t xml:space="preserve">Name / Surname </t>
  </si>
  <si>
    <t>Emirates ID No.</t>
  </si>
  <si>
    <t>Email</t>
  </si>
  <si>
    <t>Phone Mobile Number 1</t>
  </si>
  <si>
    <t>Phone Whatsapp number 2</t>
  </si>
  <si>
    <t>Did they maintain a high standard of customer communication</t>
  </si>
  <si>
    <t>Smooth transition into the Vehicle Presentation stage</t>
  </si>
  <si>
    <t>TASK 3</t>
  </si>
  <si>
    <t>VEHICLE &amp; BRAND PRESENTATION</t>
  </si>
  <si>
    <t>Product Knowledge  &amp; Feature Demonstration</t>
  </si>
  <si>
    <t>Did the Sales Executive select an appropriate vehicle based on the qualification</t>
  </si>
  <si>
    <t>Uses the 5 step walkaround technique</t>
  </si>
  <si>
    <t>Shows relevant features based on customer needs as identified using the SPECIT qualification method</t>
  </si>
  <si>
    <t>Explains key specifications and features using FFBA</t>
  </si>
  <si>
    <t>Demonstrates understanding of model variants</t>
  </si>
  <si>
    <t>Highlights unique selling points</t>
  </si>
  <si>
    <t>Customer Engagement</t>
  </si>
  <si>
    <t>Encourages customer interaction with the vehicle</t>
  </si>
  <si>
    <t>Responds to customer reactions and questions</t>
  </si>
  <si>
    <t>Maintains enthusiasm and professionalism</t>
  </si>
  <si>
    <t>Answers technical questions confidently</t>
  </si>
  <si>
    <t>Test Drive invation</t>
  </si>
  <si>
    <t>Proposes test drive at appropriate moment</t>
  </si>
  <si>
    <t>Sell the value of taking a test drive in the selected vehicle</t>
  </si>
  <si>
    <t>Handles objections or hesitations tactfully</t>
  </si>
  <si>
    <t>Value Communication</t>
  </si>
  <si>
    <t>Connects features to customer lifestyle</t>
  </si>
  <si>
    <t>Emphasizes long-term value and reliability</t>
  </si>
  <si>
    <t>Positions vehicle competitively against alternatives</t>
  </si>
  <si>
    <t>Smooth transition into the Vehicle Demonstration stage</t>
  </si>
  <si>
    <t>TASK 4</t>
  </si>
  <si>
    <t xml:space="preserve">Pre-Drive Preparation </t>
  </si>
  <si>
    <t>Confirms customer eligibility and license</t>
  </si>
  <si>
    <t>Prepares vehicle for test drive</t>
  </si>
  <si>
    <t>Explains test drive process and expectations</t>
  </si>
  <si>
    <t>Route Planning</t>
  </si>
  <si>
    <t>Did the SE drive the car first</t>
  </si>
  <si>
    <t>Considers traffic and safety</t>
  </si>
  <si>
    <t>Aligns route with customer interests</t>
  </si>
  <si>
    <t xml:space="preserve">Feature Reinforcement During Drive </t>
  </si>
  <si>
    <t>Whilst driving the vehicle, did they point out key features in action</t>
  </si>
  <si>
    <t>Encourages customer to test specific functions</t>
  </si>
  <si>
    <t>Answers questions during drive</t>
  </si>
  <si>
    <t>Customer Comfort &amp; Safety</t>
  </si>
  <si>
    <t>Ensures customer feels safe and comfortable</t>
  </si>
  <si>
    <t>Maintains professional demeanor</t>
  </si>
  <si>
    <t>Observes and adapts to customer reactions</t>
  </si>
  <si>
    <t>Post Drive Feedback &amp; Confirmation of Selected Vehicle</t>
  </si>
  <si>
    <t>Asks for customer impressions</t>
  </si>
  <si>
    <t>Clarifies any concerns or questions</t>
  </si>
  <si>
    <t>Smooth transition into the Negotiation &amp; Closing stage</t>
  </si>
  <si>
    <t>TASK 5</t>
  </si>
  <si>
    <t>Offer Presentation</t>
  </si>
  <si>
    <t>Clearly presents pricing and offers</t>
  </si>
  <si>
    <t>Explains value behind pricing</t>
  </si>
  <si>
    <t>Tailors offer to customer needs</t>
  </si>
  <si>
    <t>Handling Objections</t>
  </si>
  <si>
    <t>Listens actively to concerns</t>
  </si>
  <si>
    <t>Responds with empathy and facts</t>
  </si>
  <si>
    <t xml:space="preserve">Uses objection handling techniques </t>
  </si>
  <si>
    <t>Value Reinforcement</t>
  </si>
  <si>
    <t>Reiterates product benefits</t>
  </si>
  <si>
    <t>Connects value to customer needs</t>
  </si>
  <si>
    <t>Differentiates from competitors</t>
  </si>
  <si>
    <t>Closing Techniques</t>
  </si>
  <si>
    <t>Recognizes buying signals</t>
  </si>
  <si>
    <t>Uses appropriate closing strategies</t>
  </si>
  <si>
    <t>Maintains confidence and professionalism</t>
  </si>
  <si>
    <t>Offers Value Add-on</t>
  </si>
  <si>
    <t>Offers Accessories apropriate to this customer</t>
  </si>
  <si>
    <t>Discusseds finance offers</t>
  </si>
  <si>
    <t>Was a second facing offered with BM or SM</t>
  </si>
  <si>
    <t>Offered Service &amp; Maintenance packs</t>
  </si>
  <si>
    <t>Quotation</t>
  </si>
  <si>
    <t>Professional quotation was prepared including all relevant information  i.e finance offers , accessoriers etc.</t>
  </si>
  <si>
    <t>Smooth transition into the Delivery &amp; Follow up stage</t>
  </si>
  <si>
    <t>TASK 6</t>
  </si>
  <si>
    <t xml:space="preserve">Final Documentation </t>
  </si>
  <si>
    <t>Reviews all paperwork with customer</t>
  </si>
  <si>
    <t>Ensures signatures and copies are complete</t>
  </si>
  <si>
    <t>Explains warranty and service details</t>
  </si>
  <si>
    <t>Vehicle Prep</t>
  </si>
  <si>
    <t>Confirms vehicle is clean and fueled</t>
  </si>
  <si>
    <t>Checks all accessories and features</t>
  </si>
  <si>
    <t>Made use of Handover Checklist</t>
  </si>
  <si>
    <t>Verifies registration and insurance</t>
  </si>
  <si>
    <t xml:space="preserve">Customer Orientation </t>
  </si>
  <si>
    <t>Offers to demonstrates key vehicle functions</t>
  </si>
  <si>
    <t>Answers operational questions</t>
  </si>
  <si>
    <t>Provides owner's manual and contact info</t>
  </si>
  <si>
    <t xml:space="preserve">Emotional Experience </t>
  </si>
  <si>
    <t>Celebrates the moment (e.g., photo, gift)</t>
  </si>
  <si>
    <t>Expresses appreciation for purchase</t>
  </si>
  <si>
    <t>Creates memorable handover experience</t>
  </si>
  <si>
    <t>Follow up Planning</t>
  </si>
  <si>
    <t xml:space="preserve">First contact after Handover agreed </t>
  </si>
  <si>
    <t>Provides contact for future support</t>
  </si>
  <si>
    <t>Encourages feedback and referrals</t>
  </si>
  <si>
    <t xml:space="preserve">BRAND  </t>
  </si>
  <si>
    <t xml:space="preserve">Brand Specific Requirements </t>
  </si>
  <si>
    <t>Did the SE explain the DMI/DMO/e Platform 3.0</t>
  </si>
  <si>
    <t>Was the SE Knowledgeable about the BYD Platforms</t>
  </si>
  <si>
    <t xml:space="preserve">Did the SE offer the customer to sing Kareokee </t>
  </si>
  <si>
    <t>Did the SE inform the customer about BYD history</t>
  </si>
  <si>
    <t xml:space="preserve">Was the V2L explained and demonstrated to the customer </t>
  </si>
  <si>
    <t xml:space="preserve">Did the SE explain the NFC to the customer if applicable </t>
  </si>
  <si>
    <t>Was the benfits of the blade battery discussed</t>
  </si>
  <si>
    <t>Could the SE explain charging solutions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</si>
  <si>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</si>
  <si>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</si>
  <si>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</si>
  <si>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</si>
  <si>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</si>
  <si>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</si>
  <si>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</si>
  <si>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</si>
  <si>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</si>
  <si>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 xml:space="preserve">Start Date </t>
  </si>
  <si>
    <t>GRO 1</t>
  </si>
  <si>
    <t>Smooth transition to a Sales Executive</t>
  </si>
  <si>
    <t>GRO 2</t>
  </si>
  <si>
    <t>GRO 3</t>
  </si>
  <si>
    <t>HOS 1</t>
  </si>
  <si>
    <t>HOS 2</t>
  </si>
  <si>
    <t>HOS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</si>
</sst>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indexed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8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6" borderId="21" applyNumberFormat="0" applyProtection="0">
      <alignment horizontal="left" vertical="center"/>
    </xf>
  </cellStyleXfs>
  <cellXfs count="107">
    <xf numFmtId="0" fontId="0" fillId="0" borderId="0" xfId="0"/>
    <xf numFmtId="0" fontId="0" fillId="0" borderId="0" xfId="0" applyAlignment="1">
      <alignment horizontal="center"/>
    </xf>
    <xf numFmtId="0" fontId="3" fillId="0" borderId="5" xfId="0" applyFont="1" applyBorder="1"/>
    <xf numFmtId="14" fontId="0" fillId="0" borderId="0" xfId="0" applyNumberFormat="1" applyAlignment="1" applyProtection="1">
      <alignment wrapText="1"/>
      <protection locked="0"/>
    </xf>
    <xf numFmtId="0" fontId="3" fillId="0" borderId="6" xfId="0" applyFont="1" applyBorder="1"/>
    <xf numFmtId="0" fontId="0" fillId="0" borderId="0" xfId="0" applyAlignment="1" applyProtection="1">
      <alignment wrapText="1"/>
      <protection locked="0"/>
    </xf>
    <xf numFmtId="0" fontId="3" fillId="0" borderId="8" xfId="0" applyFont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3" borderId="6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left" vertical="center" wrapText="1"/>
    </xf>
    <xf numFmtId="9" fontId="0" fillId="0" borderId="11" xfId="0" applyNumberFormat="1" applyBorder="1"/>
    <xf numFmtId="9" fontId="0" fillId="0" borderId="18" xfId="0" applyNumberFormat="1" applyBorder="1"/>
    <xf numFmtId="9" fontId="0" fillId="0" borderId="19" xfId="0" applyNumberFormat="1" applyBorder="1"/>
    <xf numFmtId="0" fontId="6" fillId="0" borderId="6" xfId="0" applyFont="1" applyBorder="1" applyAlignment="1">
      <alignment vertical="top" wrapText="1"/>
    </xf>
    <xf numFmtId="0" fontId="6" fillId="0" borderId="13" xfId="0" applyFont="1" applyBorder="1" applyAlignment="1" applyProtection="1">
      <alignment horizontal="center"/>
      <protection locked="0"/>
    </xf>
    <xf numFmtId="0" fontId="4" fillId="2" borderId="20" xfId="0" applyFont="1" applyFill="1" applyBorder="1" applyAlignment="1">
      <alignment horizontal="left" vertical="center" wrapText="1"/>
    </xf>
    <xf numFmtId="9" fontId="0" fillId="0" borderId="6" xfId="0" applyNumberFormat="1" applyBorder="1"/>
    <xf numFmtId="9" fontId="0" fillId="0" borderId="21" xfId="0" applyNumberFormat="1" applyBorder="1"/>
    <xf numFmtId="9" fontId="0" fillId="0" borderId="13" xfId="0" applyNumberFormat="1" applyBorder="1"/>
    <xf numFmtId="0" fontId="4" fillId="2" borderId="2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9" fontId="0" fillId="0" borderId="8" xfId="1" applyFont="1" applyBorder="1"/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6" fillId="0" borderId="21" xfId="0" applyFont="1" applyBorder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0" fillId="0" borderId="8" xfId="0" applyBorder="1" applyAlignment="1">
      <alignment wrapText="1"/>
    </xf>
    <xf numFmtId="0" fontId="6" fillId="0" borderId="22" xfId="0" applyFon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6" fillId="0" borderId="0" xfId="0" applyFont="1" applyAlignment="1" applyProtection="1">
      <alignment horizontal="center"/>
      <protection locked="0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7" fillId="0" borderId="0" xfId="0" applyFont="1"/>
    <xf numFmtId="0" fontId="4" fillId="2" borderId="6" xfId="0" applyFont="1" applyFill="1" applyBorder="1" applyAlignment="1">
      <alignment vertical="center" wrapText="1"/>
    </xf>
    <xf numFmtId="0" fontId="0" fillId="4" borderId="6" xfId="0" applyFill="1" applyBorder="1" applyAlignment="1">
      <alignment wrapText="1"/>
    </xf>
    <xf numFmtId="0" fontId="0" fillId="0" borderId="10" xfId="0" applyBorder="1" applyAlignment="1">
      <alignment wrapText="1"/>
    </xf>
    <xf numFmtId="0" fontId="6" fillId="0" borderId="9" xfId="0" applyFont="1" applyBorder="1" applyAlignment="1" applyProtection="1">
      <alignment horizontal="center"/>
      <protection locked="0"/>
    </xf>
    <xf numFmtId="0" fontId="4" fillId="2" borderId="11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0" borderId="16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/>
    </xf>
    <xf numFmtId="9" fontId="0" fillId="0" borderId="21" xfId="0" applyNumberFormat="1" applyBorder="1" applyAlignment="1">
      <alignment horizontal="center"/>
    </xf>
    <xf numFmtId="9" fontId="0" fillId="0" borderId="21" xfId="1" applyFont="1" applyBorder="1" applyAlignment="1">
      <alignment horizontal="center"/>
    </xf>
    <xf numFmtId="0" fontId="0" fillId="0" borderId="21" xfId="0" applyBorder="1"/>
    <xf numFmtId="14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8" fillId="5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0" fillId="0" borderId="0" xfId="1" applyFont="1" applyFill="1" applyBorder="1"/>
    <xf numFmtId="0" fontId="4" fillId="2" borderId="26" xfId="0" applyFont="1" applyFill="1" applyBorder="1" applyAlignment="1">
      <alignment horizontal="left" vertical="center" wrapText="1"/>
    </xf>
    <xf numFmtId="9" fontId="0" fillId="0" borderId="14" xfId="0" applyNumberFormat="1" applyBorder="1"/>
    <xf numFmtId="9" fontId="0" fillId="0" borderId="15" xfId="0" applyNumberFormat="1" applyBorder="1"/>
    <xf numFmtId="9" fontId="0" fillId="0" borderId="16" xfId="0" applyNumberFormat="1" applyBorder="1"/>
    <xf numFmtId="0" fontId="4" fillId="2" borderId="27" xfId="0" applyFont="1" applyFill="1" applyBorder="1" applyAlignment="1">
      <alignment horizontal="left" vertical="center" wrapText="1"/>
    </xf>
    <xf numFmtId="9" fontId="0" fillId="0" borderId="4" xfId="0" applyNumberFormat="1" applyBorder="1"/>
    <xf numFmtId="9" fontId="0" fillId="0" borderId="28" xfId="0" applyNumberFormat="1" applyBorder="1"/>
    <xf numFmtId="9" fontId="0" fillId="0" borderId="22" xfId="0" applyNumberFormat="1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/>
    </xf>
    <xf numFmtId="0" fontId="0" fillId="0" borderId="20" xfId="0" applyBorder="1"/>
    <xf numFmtId="0" fontId="0" fillId="0" borderId="29" xfId="0" applyBorder="1" applyAlignment="1">
      <alignment horizontal="center"/>
    </xf>
    <xf numFmtId="0" fontId="0" fillId="0" borderId="8" xfId="0" applyBorder="1"/>
    <xf numFmtId="0" fontId="0" fillId="0" borderId="28" xfId="0" applyBorder="1" applyAlignment="1">
      <alignment horizontal="center" vertical="center"/>
    </xf>
    <xf numFmtId="9" fontId="0" fillId="0" borderId="28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8" fillId="5" borderId="6" xfId="0" applyFont="1" applyFill="1" applyBorder="1" applyAlignment="1">
      <alignment vertical="center" wrapText="1"/>
    </xf>
    <xf numFmtId="0" fontId="8" fillId="0" borderId="6" xfId="0" applyFont="1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3">
    <cellStyle name="background-color:White; color:Black; font:font-family:Arial; font-size:10pt; fon" xfId="2" xr:uid="{72CC747F-9E3B-41F5-A794-AC364E86A487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BRANCH SE</a:t>
            </a:r>
            <a:r>
              <a:rPr lang="en-US" sz="2800" b="1" baseline="0"/>
              <a:t> </a:t>
            </a:r>
            <a:r>
              <a:rPr lang="en-US" sz="2800" b="1"/>
              <a:t>OVERALL SCORE 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'Branch Summary '!$B$32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'Branch Summary '!$A$33:$A$39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'Branch Summary '!$B$33:$B$39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E-44E8-A196-0FD87DC94720}"/>
            </c:ext>
          </c:extLst>
        </c:ser>
        <c:ser>
          <c:idx val="1"/>
          <c:order val="1"/>
          <c:tx>
            <c:strRef>
              <c:f>'Branch Summary '!$C$32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'Branch Summary '!$A$33:$A$39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'Branch Summary '!$C$33:$C$39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E-44E8-A196-0FD87DC94720}"/>
            </c:ext>
          </c:extLst>
        </c:ser>
        <c:ser>
          <c:idx val="2"/>
          <c:order val="2"/>
          <c:tx>
            <c:strRef>
              <c:f>'Branch Summary '!$D$32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'Branch Summary '!$A$33:$A$39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'Branch Summary '!$D$33:$D$39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E-44E8-A196-0FD87DC94720}"/>
            </c:ext>
          </c:extLst>
        </c:ser>
        <c:ser>
          <c:idx val="3"/>
          <c:order val="3"/>
          <c:tx>
            <c:strRef>
              <c:f>'Branch Summary '!$E$32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'Branch Summary '!$A$33:$A$39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'Branch Summary '!$E$33:$E$39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E-44E8-A196-0FD87DC9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1'!$G$13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1'!$F$14:$F$20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0-4CCC-898E-261CF3A7BDB5}"/>
            </c:ext>
          </c:extLst>
        </c:ser>
        <c:ser>
          <c:idx val="1"/>
          <c:order val="1"/>
          <c:tx>
            <c:strRef>
              <c:f>'Participant 1'!$H$13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1'!$F$14:$F$20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0-4CCC-898E-261CF3A7BDB5}"/>
            </c:ext>
          </c:extLst>
        </c:ser>
        <c:ser>
          <c:idx val="2"/>
          <c:order val="2"/>
          <c:tx>
            <c:strRef>
              <c:f>'Participant 1'!$I$13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1'!$F$14:$F$20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0-4CCC-898E-261CF3A7BDB5}"/>
            </c:ext>
          </c:extLst>
        </c:ser>
        <c:ser>
          <c:idx val="3"/>
          <c:order val="3"/>
          <c:tx>
            <c:strRef>
              <c:f>'Participant 1'!$J$13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1'!$F$14:$F$20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C0-4CCC-898E-261CF3A7B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2'!$G$13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2'!$F$14:$F$20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2'!$G$14:$G$20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A-4D05-A311-58872BB65643}"/>
            </c:ext>
          </c:extLst>
        </c:ser>
        <c:ser>
          <c:idx val="1"/>
          <c:order val="1"/>
          <c:tx>
            <c:strRef>
              <c:f>'Participant 2'!$H$13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2'!$F$14:$F$20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2'!$H$14:$H$20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A-4D05-A311-58872BB65643}"/>
            </c:ext>
          </c:extLst>
        </c:ser>
        <c:ser>
          <c:idx val="2"/>
          <c:order val="2"/>
          <c:tx>
            <c:strRef>
              <c:f>'Participant 2'!$I$13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2'!$F$14:$F$20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2'!$I$14:$I$20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A-4D05-A311-58872BB65643}"/>
            </c:ext>
          </c:extLst>
        </c:ser>
        <c:ser>
          <c:idx val="3"/>
          <c:order val="3"/>
          <c:tx>
            <c:strRef>
              <c:f>'Participant 2'!$J$13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2'!$F$14:$F$20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2'!$J$14:$J$20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AA-4D05-A311-58872BB65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3'!$G$13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3'!$F$14:$F$20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3'!$G$14:$G$20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8-4232-9121-73306BF4685E}"/>
            </c:ext>
          </c:extLst>
        </c:ser>
        <c:ser>
          <c:idx val="1"/>
          <c:order val="1"/>
          <c:tx>
            <c:strRef>
              <c:f>'Participant 3'!$H$13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3'!$F$14:$F$20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3'!$H$14:$H$20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8-4232-9121-73306BF4685E}"/>
            </c:ext>
          </c:extLst>
        </c:ser>
        <c:ser>
          <c:idx val="2"/>
          <c:order val="2"/>
          <c:tx>
            <c:strRef>
              <c:f>'Participant 3'!$I$13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3'!$F$14:$F$20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3'!$I$14:$I$20</c:f>
              <c:numCache>
                <c:formatCode>0%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D8-4232-9121-73306BF4685E}"/>
            </c:ext>
          </c:extLst>
        </c:ser>
        <c:ser>
          <c:idx val="3"/>
          <c:order val="3"/>
          <c:tx>
            <c:strRef>
              <c:f>'Participant 3'!$J$13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3'!$F$14:$F$20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3'!$J$14:$J$20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8-4232-9121-73306BF4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4'!$G$13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4'!$F$14:$F$20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4'!$G$14:$G$20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5-4317-A4A0-3F2814DA2462}"/>
            </c:ext>
          </c:extLst>
        </c:ser>
        <c:ser>
          <c:idx val="1"/>
          <c:order val="1"/>
          <c:tx>
            <c:strRef>
              <c:f>'Participant 4'!$H$13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4'!$F$14:$F$20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4'!$H$14:$H$20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5-4317-A4A0-3F2814DA2462}"/>
            </c:ext>
          </c:extLst>
        </c:ser>
        <c:ser>
          <c:idx val="2"/>
          <c:order val="2"/>
          <c:tx>
            <c:strRef>
              <c:f>'Participant 4'!$I$13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4'!$F$14:$F$20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4'!$I$14:$I$20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C5-4317-A4A0-3F2814DA2462}"/>
            </c:ext>
          </c:extLst>
        </c:ser>
        <c:ser>
          <c:idx val="3"/>
          <c:order val="3"/>
          <c:tx>
            <c:strRef>
              <c:f>'Participant 4'!$J$13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4'!$F$14:$F$20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4'!$J$14:$J$20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C5-4317-A4A0-3F2814DA2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5'!$G$13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5'!$F$14:$F$20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5'!$G$14:$G$20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8-45BC-9BDF-B7191948F7EC}"/>
            </c:ext>
          </c:extLst>
        </c:ser>
        <c:ser>
          <c:idx val="1"/>
          <c:order val="1"/>
          <c:tx>
            <c:strRef>
              <c:f>'Participant 5'!$H$13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5'!$F$14:$F$20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5'!$H$14:$H$20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8-45BC-9BDF-B7191948F7EC}"/>
            </c:ext>
          </c:extLst>
        </c:ser>
        <c:ser>
          <c:idx val="2"/>
          <c:order val="2"/>
          <c:tx>
            <c:strRef>
              <c:f>'Participant 5'!$I$13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5'!$F$14:$F$20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5'!$I$14:$I$20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38-45BC-9BDF-B7191948F7EC}"/>
            </c:ext>
          </c:extLst>
        </c:ser>
        <c:ser>
          <c:idx val="3"/>
          <c:order val="3"/>
          <c:tx>
            <c:strRef>
              <c:f>'Participant 5'!$J$13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5'!$F$14:$F$20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5'!$J$14:$J$20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38-45BC-9BDF-B7191948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'Patricipant 6'!$G$13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'Patricipant 6'!$F$14:$F$20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'Patricipant 6'!$G$14:$G$20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7-4362-B8B0-818D0EC0E8EE}"/>
            </c:ext>
          </c:extLst>
        </c:ser>
        <c:ser>
          <c:idx val="1"/>
          <c:order val="1"/>
          <c:tx>
            <c:strRef>
              <c:f>'Patricipant 6'!$H$13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'Patricipant 6'!$F$14:$F$20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'Patricipant 6'!$H$14:$H$20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7-4362-B8B0-818D0EC0E8EE}"/>
            </c:ext>
          </c:extLst>
        </c:ser>
        <c:ser>
          <c:idx val="2"/>
          <c:order val="2"/>
          <c:tx>
            <c:strRef>
              <c:f>'Patricipant 6'!$I$13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'Patricipant 6'!$F$14:$F$20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'Patricipant 6'!$I$14:$I$20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57-4362-B8B0-818D0EC0E8EE}"/>
            </c:ext>
          </c:extLst>
        </c:ser>
        <c:ser>
          <c:idx val="3"/>
          <c:order val="3"/>
          <c:tx>
            <c:strRef>
              <c:f>'Patricipant 6'!$J$13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'Patricipant 6'!$F$14:$F$20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'Patricipant 6'!$J$14:$J$20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57-4362-B8B0-818D0EC0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7'!$G$13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7'!$F$14:$F$20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7'!$G$14:$G$20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E-4723-A04D-51317DE1D5C9}"/>
            </c:ext>
          </c:extLst>
        </c:ser>
        <c:ser>
          <c:idx val="1"/>
          <c:order val="1"/>
          <c:tx>
            <c:strRef>
              <c:f>'Participant 7'!$H$13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7'!$F$14:$F$20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7'!$H$14:$H$20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E-4723-A04D-51317DE1D5C9}"/>
            </c:ext>
          </c:extLst>
        </c:ser>
        <c:ser>
          <c:idx val="2"/>
          <c:order val="2"/>
          <c:tx>
            <c:strRef>
              <c:f>'Participant 7'!$I$13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7'!$F$14:$F$20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7'!$I$14:$I$20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E-4723-A04D-51317DE1D5C9}"/>
            </c:ext>
          </c:extLst>
        </c:ser>
        <c:ser>
          <c:idx val="3"/>
          <c:order val="3"/>
          <c:tx>
            <c:strRef>
              <c:f>'Participant 7'!$J$13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7'!$F$14:$F$20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7'!$J$14:$J$20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E-4723-A04D-51317DE1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8'!$G$13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8'!$F$14:$F$20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8'!$G$14:$G$20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1-4BD7-A979-DF4770615C35}"/>
            </c:ext>
          </c:extLst>
        </c:ser>
        <c:ser>
          <c:idx val="1"/>
          <c:order val="1"/>
          <c:tx>
            <c:strRef>
              <c:f>'Participant 8'!$H$13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8'!$F$14:$F$20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8'!$H$14:$H$20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1-4BD7-A979-DF4770615C35}"/>
            </c:ext>
          </c:extLst>
        </c:ser>
        <c:ser>
          <c:idx val="2"/>
          <c:order val="2"/>
          <c:tx>
            <c:strRef>
              <c:f>'Participant 8'!$I$13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8'!$F$14:$F$20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8'!$I$14:$I$20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1-4BD7-A979-DF4770615C35}"/>
            </c:ext>
          </c:extLst>
        </c:ser>
        <c:ser>
          <c:idx val="3"/>
          <c:order val="3"/>
          <c:tx>
            <c:strRef>
              <c:f>'Participant 8'!$J$13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8'!$F$14:$F$20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8'!$J$14:$J$20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1-4BD7-A979-DF4770615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9'!$G$13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9'!$F$14:$F$20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9'!$G$14:$G$20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0-4E89-980E-79B6A523AA0C}"/>
            </c:ext>
          </c:extLst>
        </c:ser>
        <c:ser>
          <c:idx val="1"/>
          <c:order val="1"/>
          <c:tx>
            <c:strRef>
              <c:f>'Participant 9'!$H$13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9'!$F$14:$F$20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9'!$H$14:$H$20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0-4E89-980E-79B6A523AA0C}"/>
            </c:ext>
          </c:extLst>
        </c:ser>
        <c:ser>
          <c:idx val="2"/>
          <c:order val="2"/>
          <c:tx>
            <c:strRef>
              <c:f>'Participant 9'!$I$13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9'!$F$14:$F$20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9'!$I$14:$I$20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0-4E89-980E-79B6A523AA0C}"/>
            </c:ext>
          </c:extLst>
        </c:ser>
        <c:ser>
          <c:idx val="3"/>
          <c:order val="3"/>
          <c:tx>
            <c:strRef>
              <c:f>'Participant 9'!$J$13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9'!$F$14:$F$20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9'!$J$14:$J$20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30-4E89-980E-79B6A523A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 10'!$G$13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'Participant 10'!$F$14:$F$20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10'!$G$14:$G$20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B-451F-AD97-63CD8C9D960B}"/>
            </c:ext>
          </c:extLst>
        </c:ser>
        <c:ser>
          <c:idx val="1"/>
          <c:order val="1"/>
          <c:tx>
            <c:strRef>
              <c:f>'Participant 10'!$H$13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'Participant 10'!$F$14:$F$20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10'!$H$14:$H$20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B-451F-AD97-63CD8C9D960B}"/>
            </c:ext>
          </c:extLst>
        </c:ser>
        <c:ser>
          <c:idx val="2"/>
          <c:order val="2"/>
          <c:tx>
            <c:strRef>
              <c:f>'Participant 10'!$I$13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'Participant 10'!$F$14:$F$20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10'!$I$14:$I$20</c:f>
              <c:numCache>
                <c:formatCode>0%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B-451F-AD97-63CD8C9D960B}"/>
            </c:ext>
          </c:extLst>
        </c:ser>
        <c:ser>
          <c:idx val="3"/>
          <c:order val="3"/>
          <c:tx>
            <c:strRef>
              <c:f>'Participant 10'!$J$13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'Participant 10'!$F$14:$F$20</c:f>
              <c:strCache>
                <c:ptCount val="7"/>
                <c:pt idx="0">
                  <c:v>MEET &amp; GREET</c:v>
                </c:pt>
                <c:pt idx="1">
                  <c:v>QUALIFICATION</c:v>
                </c:pt>
                <c:pt idx="2">
                  <c:v>VEHICLE PRESENTATION</c:v>
                </c:pt>
                <c:pt idx="3">
                  <c:v>VEHICLE DEMONSTRATION</c:v>
                </c:pt>
                <c:pt idx="4">
                  <c:v>NEGOTIATION &amp; CLOSING</c:v>
                </c:pt>
                <c:pt idx="5">
                  <c:v>DELIVERY &amp; FOLLOW UP</c:v>
                </c:pt>
                <c:pt idx="6">
                  <c:v>BRAND SPECIFIC REQUIREMENTS</c:v>
                </c:pt>
              </c:strCache>
            </c:strRef>
          </c:cat>
          <c:val>
            <c:numRef>
              <c:f>'Participant 10'!$J$14:$J$20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9B-451F-AD97-63CD8C9D9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'Handover Specialist 1'!$G$12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'Handover Specialist 1'!$F$13:$F$15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1'!$G$13:$G$15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6-4D57-BF0C-E55F16244707}"/>
            </c:ext>
          </c:extLst>
        </c:ser>
        <c:ser>
          <c:idx val="1"/>
          <c:order val="1"/>
          <c:tx>
            <c:strRef>
              <c:f>'Handover Specialist 1'!$H$12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'Handover Specialist 1'!$F$13:$F$15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1'!$H$13:$H$15</c:f>
              <c:numCache>
                <c:formatCode>0%</c:formatCode>
                <c:ptCount val="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6-4D57-BF0C-E55F16244707}"/>
            </c:ext>
          </c:extLst>
        </c:ser>
        <c:ser>
          <c:idx val="2"/>
          <c:order val="2"/>
          <c:tx>
            <c:strRef>
              <c:f>'Handover Specialist 1'!$I$12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'Handover Specialist 1'!$F$13:$F$15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1'!$I$13:$I$15</c:f>
              <c:numCache>
                <c:formatCode>0%</c:formatCode>
                <c:ptCount val="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6-4D57-BF0C-E55F16244707}"/>
            </c:ext>
          </c:extLst>
        </c:ser>
        <c:ser>
          <c:idx val="3"/>
          <c:order val="3"/>
          <c:tx>
            <c:strRef>
              <c:f>'Handover Specialist 1'!$J$12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'Handover Specialist 1'!$F$13:$F$15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1'!$J$13:$J$15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E6-4D57-BF0C-E55F16244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'Handover Specialist 2'!$G$12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'Handover Specialist 2'!$F$13:$F$15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2'!$G$13:$G$15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E-44FB-A3EF-C2B0AFBCA6B7}"/>
            </c:ext>
          </c:extLst>
        </c:ser>
        <c:ser>
          <c:idx val="1"/>
          <c:order val="1"/>
          <c:tx>
            <c:strRef>
              <c:f>'Handover Specialist 2'!$H$12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'Handover Specialist 2'!$F$13:$F$15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2'!$H$13:$H$15</c:f>
              <c:numCache>
                <c:formatCode>0%</c:formatCode>
                <c:ptCount val="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E-44FB-A3EF-C2B0AFBCA6B7}"/>
            </c:ext>
          </c:extLst>
        </c:ser>
        <c:ser>
          <c:idx val="2"/>
          <c:order val="2"/>
          <c:tx>
            <c:strRef>
              <c:f>'Handover Specialist 2'!$I$12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'Handover Specialist 2'!$F$13:$F$15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2'!$I$13:$I$15</c:f>
              <c:numCache>
                <c:formatCode>0%</c:formatCode>
                <c:ptCount val="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4E-44FB-A3EF-C2B0AFBCA6B7}"/>
            </c:ext>
          </c:extLst>
        </c:ser>
        <c:ser>
          <c:idx val="3"/>
          <c:order val="3"/>
          <c:tx>
            <c:strRef>
              <c:f>'Handover Specialist 2'!$J$12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'Handover Specialist 2'!$F$13:$F$15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2'!$J$13:$J$15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4E-44FB-A3EF-C2B0AFBCA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SKILLS</a:t>
            </a:r>
            <a:r>
              <a:rPr lang="en-US" sz="2800" b="1" baseline="0"/>
              <a:t> EVALUATION REPORT 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601732049922"/>
          <c:y val="9.5552543998007666E-2"/>
          <c:w val="0.75410036704780115"/>
          <c:h val="0.90538881539844462"/>
        </c:manualLayout>
      </c:layout>
      <c:radarChart>
        <c:radarStyle val="marker"/>
        <c:varyColors val="0"/>
        <c:ser>
          <c:idx val="0"/>
          <c:order val="0"/>
          <c:tx>
            <c:strRef>
              <c:f>'Handover Specialist 3'!$G$12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'Handover Specialist 3'!$F$13:$F$15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3'!$G$13:$G$15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0-4D6A-BCB9-5FD64FB33C85}"/>
            </c:ext>
          </c:extLst>
        </c:ser>
        <c:ser>
          <c:idx val="1"/>
          <c:order val="1"/>
          <c:tx>
            <c:strRef>
              <c:f>'Handover Specialist 3'!$H$12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'Handover Specialist 3'!$F$13:$F$15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3'!$H$13:$H$15</c:f>
              <c:numCache>
                <c:formatCode>0%</c:formatCode>
                <c:ptCount val="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0-4D6A-BCB9-5FD64FB33C85}"/>
            </c:ext>
          </c:extLst>
        </c:ser>
        <c:ser>
          <c:idx val="2"/>
          <c:order val="2"/>
          <c:tx>
            <c:strRef>
              <c:f>'Handover Specialist 3'!$I$12</c:f>
              <c:strCache>
                <c:ptCount val="1"/>
                <c:pt idx="0">
                  <c:v>Fail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'Handover Specialist 3'!$F$13:$F$15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3'!$I$13:$I$15</c:f>
              <c:numCache>
                <c:formatCode>0%</c:formatCode>
                <c:ptCount val="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30-4D6A-BCB9-5FD64FB33C85}"/>
            </c:ext>
          </c:extLst>
        </c:ser>
        <c:ser>
          <c:idx val="3"/>
          <c:order val="3"/>
          <c:tx>
            <c:strRef>
              <c:f>'Handover Specialist 3'!$J$12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'Handover Specialist 3'!$F$13:$F$15</c:f>
              <c:strCache>
                <c:ptCount val="3"/>
                <c:pt idx="0">
                  <c:v>MEET &amp; GREET</c:v>
                </c:pt>
                <c:pt idx="1">
                  <c:v>DELIVERY &amp; FOLLOW UP</c:v>
                </c:pt>
                <c:pt idx="2">
                  <c:v>BRAND SPECIFIC REQUIREMENTS</c:v>
                </c:pt>
              </c:strCache>
            </c:strRef>
          </c:cat>
          <c:val>
            <c:numRef>
              <c:f>'Handover Specialist 3'!$J$13:$J$15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30-4D6A-BCB9-5FD64FB3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44432"/>
        <c:axId val="1443842528"/>
      </c:radarChart>
      <c:catAx>
        <c:axId val="1317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2528"/>
        <c:crosses val="autoZero"/>
        <c:auto val="1"/>
        <c:lblAlgn val="ctr"/>
        <c:lblOffset val="100"/>
        <c:noMultiLvlLbl val="0"/>
      </c:catAx>
      <c:valAx>
        <c:axId val="1443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87001958127793"/>
          <c:y val="0.96935417944264501"/>
          <c:w val="0.28200282893647938"/>
          <c:h val="1.739773755583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73818</xdr:colOff>
      <xdr:row>0</xdr:row>
      <xdr:rowOff>0</xdr:rowOff>
    </xdr:from>
    <xdr:to>
      <xdr:col>40</xdr:col>
      <xdr:colOff>243353</xdr:colOff>
      <xdr:row>62</xdr:row>
      <xdr:rowOff>95023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CDAB909-9FCA-4E7D-95AB-3CDB2358B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70108</xdr:colOff>
      <xdr:row>0</xdr:row>
      <xdr:rowOff>0</xdr:rowOff>
    </xdr:from>
    <xdr:to>
      <xdr:col>41</xdr:col>
      <xdr:colOff>199912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2D8FB-1C63-4F3D-B070-C4363797A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ED2AE-E87F-4330-8731-5FB75557F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212983</xdr:colOff>
      <xdr:row>0</xdr:row>
      <xdr:rowOff>0</xdr:rowOff>
    </xdr:from>
    <xdr:to>
      <xdr:col>41</xdr:col>
      <xdr:colOff>342787</xdr:colOff>
      <xdr:row>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D52E9-4FC9-45B1-A236-008065E65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F5C19-612D-4836-BDF2-A587E3D90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4108A-31E0-4B5C-8CAC-0B2FB2F8C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89072-2FC3-4ADD-B4F3-14EA7400C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F1EE8-F150-40C8-BE08-CEFBA8C3B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A68A2-D3F7-4AA8-AB35-F12601D10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2E9A4-3E1E-411C-83A9-E782BB406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68820-71E5-41AE-B30F-6606CBAC3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3998E-6273-41C8-8928-D21D3AE1E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7F1F0-8C93-4208-A23B-7CAE872E3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203458</xdr:colOff>
      <xdr:row>0</xdr:row>
      <xdr:rowOff>247650</xdr:rowOff>
    </xdr:from>
    <xdr:to>
      <xdr:col>42</xdr:col>
      <xdr:colOff>333262</xdr:colOff>
      <xdr:row>60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F4223-9B17-4869-A83A-5B5FDE849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2B09-26D5-405C-97FD-E63A2CC64581}">
  <dimension ref="A3:J40"/>
  <sheetViews>
    <sheetView tabSelected="1" zoomScale="61" workbookViewId="0">
      <selection activeCell="G18" sqref="G18"/>
    </sheetView>
  </sheetViews>
  <sheetFormatPr defaultRowHeight="14.5" x14ac:dyDescent="0.35"/>
  <cols>
    <col min="1" max="1" width="50.453125" customWidth="1"/>
    <col min="2" max="2" width="10.453125" style="63" bestFit="1" customWidth="1"/>
    <col min="3" max="3" width="19.26953125" style="1" customWidth="1"/>
    <col min="4" max="4" width="19.54296875" style="1" bestFit="1" customWidth="1"/>
    <col min="5" max="5" width="23" style="1" customWidth="1"/>
    <col min="6" max="6" width="27.26953125" style="1" customWidth="1"/>
    <col min="7" max="7" width="31" style="1" customWidth="1"/>
    <col min="8" max="8" width="33.26953125" style="1" customWidth="1"/>
    <col min="9" max="9" width="38.26953125" style="1" customWidth="1"/>
    <col min="10" max="10" width="30.7265625" style="1" customWidth="1"/>
  </cols>
  <sheetData>
    <row r="3" spans="1:10" ht="37" x14ac:dyDescent="0.35">
      <c r="A3" s="69" t="s">
        <v>0</v>
      </c>
      <c r="B3" s="57" t="s">
        <v>1</v>
      </c>
      <c r="C3" s="57" t="s">
        <v>2</v>
      </c>
      <c r="D3" s="57" t="s">
        <v>3</v>
      </c>
      <c r="E3" s="57" t="s">
        <v>4</v>
      </c>
      <c r="F3" s="57" t="s">
        <v>5</v>
      </c>
      <c r="G3" s="57" t="s">
        <v>6</v>
      </c>
      <c r="H3" s="57" t="s">
        <v>7</v>
      </c>
      <c r="I3" s="57" t="s">
        <v>8</v>
      </c>
      <c r="J3" s="57" t="s">
        <v>9</v>
      </c>
    </row>
    <row r="4" spans="1:10" ht="16" x14ac:dyDescent="0.35">
      <c r="A4" s="68" t="str">
        <f>'Participant 1'!B7</f>
        <v>Participant 1</v>
      </c>
      <c r="B4" s="58">
        <f>'Participant 1'!B3</f>
        <v>0</v>
      </c>
      <c r="C4" s="59">
        <f>'Participant 1'!G14</f>
        <v>0</v>
      </c>
      <c r="D4" s="59">
        <f>'Participant 1'!G15</f>
        <v>0</v>
      </c>
      <c r="E4" s="59">
        <f>'Participant 1'!G16</f>
        <v>0</v>
      </c>
      <c r="F4" s="59">
        <f>'Participant 1'!G17</f>
        <v>0</v>
      </c>
      <c r="G4" s="59">
        <f>'Participant 1'!G18</f>
        <v>0</v>
      </c>
      <c r="H4" s="59">
        <f>'Participant 1'!G19</f>
        <v>0</v>
      </c>
      <c r="I4" s="60">
        <f>'Participant 1'!G20</f>
        <v>0</v>
      </c>
      <c r="J4" s="59">
        <f>AVERAGE(C4:I4)</f>
        <v>0</v>
      </c>
    </row>
    <row r="5" spans="1:10" ht="16" x14ac:dyDescent="0.35">
      <c r="A5" s="68" t="str">
        <f>'Participant 2'!$B$7</f>
        <v>Participant 2</v>
      </c>
      <c r="B5" s="58">
        <f>'Participant 2'!B3</f>
        <v>0</v>
      </c>
      <c r="C5" s="59">
        <f>'Participant 2'!G14</f>
        <v>0</v>
      </c>
      <c r="D5" s="59">
        <f>'Participant 2'!G15</f>
        <v>0</v>
      </c>
      <c r="E5" s="59">
        <f>'Participant 2'!G16</f>
        <v>0</v>
      </c>
      <c r="F5" s="59">
        <f>'Participant 2'!G17</f>
        <v>0</v>
      </c>
      <c r="G5" s="59">
        <f>'Participant 2'!G18</f>
        <v>0</v>
      </c>
      <c r="H5" s="59">
        <f>'Participant 2'!G19</f>
        <v>0</v>
      </c>
      <c r="I5" s="59">
        <f>'Participant 2'!G20</f>
        <v>0</v>
      </c>
      <c r="J5" s="59">
        <f>AVERAGE(C5:I5)</f>
        <v>0</v>
      </c>
    </row>
    <row r="6" spans="1:10" ht="16" x14ac:dyDescent="0.35">
      <c r="A6" s="68" t="str">
        <f>'Participant 3'!$B$7</f>
        <v>Participant 3</v>
      </c>
      <c r="B6" s="58">
        <f>'Participant 3'!B4</f>
        <v>0</v>
      </c>
      <c r="C6" s="59">
        <f>'Participant 3'!G14</f>
        <v>0</v>
      </c>
      <c r="D6" s="59">
        <f>'Participant 3'!G15</f>
        <v>0</v>
      </c>
      <c r="E6" s="59">
        <f>'Participant 3'!G16</f>
        <v>0</v>
      </c>
      <c r="F6" s="59">
        <f>'Participant 3'!G17</f>
        <v>0</v>
      </c>
      <c r="G6" s="59">
        <f>'Participant 3'!G18</f>
        <v>0</v>
      </c>
      <c r="H6" s="59">
        <f>'Participant 3'!G19</f>
        <v>0</v>
      </c>
      <c r="I6" s="59">
        <f>'Participant 3'!G20</f>
        <v>0</v>
      </c>
      <c r="J6" s="59">
        <f t="shared" ref="J6:J13" si="0">AVERAGE(C6:I6)</f>
        <v>0</v>
      </c>
    </row>
    <row r="7" spans="1:10" ht="16" x14ac:dyDescent="0.35">
      <c r="A7" s="68" t="str">
        <f>'Participant 4'!$B$7</f>
        <v>Participant 4</v>
      </c>
      <c r="B7" s="58">
        <f>'Participant 4'!B5</f>
        <v>0</v>
      </c>
      <c r="C7" s="59">
        <f>'Participant 4'!G14</f>
        <v>0</v>
      </c>
      <c r="D7" s="59">
        <f>'Participant 4'!G15</f>
        <v>0</v>
      </c>
      <c r="E7" s="59">
        <f>'Participant 4'!G16</f>
        <v>0</v>
      </c>
      <c r="F7" s="59">
        <f>'Participant 4'!G17</f>
        <v>0</v>
      </c>
      <c r="G7" s="59">
        <f>'Participant 4'!G18</f>
        <v>0</v>
      </c>
      <c r="H7" s="59">
        <f>'Participant 4'!G19</f>
        <v>0</v>
      </c>
      <c r="I7" s="59">
        <f>'Participant 4'!G20</f>
        <v>0</v>
      </c>
      <c r="J7" s="59">
        <f t="shared" si="0"/>
        <v>0</v>
      </c>
    </row>
    <row r="8" spans="1:10" ht="16" x14ac:dyDescent="0.35">
      <c r="A8" s="68" t="str">
        <f>'Participant 5'!$B$7</f>
        <v>Participant 5</v>
      </c>
      <c r="B8" s="58">
        <f>'Participant 5'!B6</f>
        <v>0</v>
      </c>
      <c r="C8" s="59">
        <f>'Participant 5'!G14</f>
        <v>0</v>
      </c>
      <c r="D8" s="59">
        <f>'Participant 5'!G15</f>
        <v>0</v>
      </c>
      <c r="E8" s="59">
        <f>'Participant 5'!G16</f>
        <v>0</v>
      </c>
      <c r="F8" s="59">
        <f>'Participant 5'!G17</f>
        <v>0</v>
      </c>
      <c r="G8" s="59">
        <f>'Participant 5'!G18</f>
        <v>0</v>
      </c>
      <c r="H8" s="59">
        <f>'Participant 5'!G19</f>
        <v>0</v>
      </c>
      <c r="I8" s="59">
        <f>'Participant 5'!G20</f>
        <v>0</v>
      </c>
      <c r="J8" s="59">
        <f t="shared" si="0"/>
        <v>0</v>
      </c>
    </row>
    <row r="9" spans="1:10" ht="16" x14ac:dyDescent="0.35">
      <c r="A9" s="68" t="str">
        <f>'Patricipant 6'!B7</f>
        <v>Participant 6</v>
      </c>
      <c r="B9" s="58">
        <f>'Patricipant 6'!B3</f>
        <v>0</v>
      </c>
      <c r="C9" s="59">
        <f>'Patricipant 6'!G14</f>
        <v>0</v>
      </c>
      <c r="D9" s="59">
        <f>'Patricipant 6'!G15</f>
        <v>0</v>
      </c>
      <c r="E9" s="59">
        <f>'Patricipant 6'!G16</f>
        <v>0</v>
      </c>
      <c r="F9" s="59">
        <f>'Patricipant 6'!G17</f>
        <v>0</v>
      </c>
      <c r="G9" s="59">
        <f>'Patricipant 6'!G18</f>
        <v>0</v>
      </c>
      <c r="H9" s="59">
        <f>'Patricipant 6'!G19</f>
        <v>0</v>
      </c>
      <c r="I9" s="59">
        <f>'Patricipant 6'!G20</f>
        <v>0</v>
      </c>
      <c r="J9" s="59">
        <f t="shared" si="0"/>
        <v>0</v>
      </c>
    </row>
    <row r="10" spans="1:10" ht="16" x14ac:dyDescent="0.35">
      <c r="A10" s="68" t="str">
        <f>'Participant 7'!$B$7</f>
        <v>Participant 7</v>
      </c>
      <c r="B10" s="58">
        <f>'Participant 7'!B8</f>
        <v>0</v>
      </c>
      <c r="C10" s="59">
        <f>'Participant 7'!G14</f>
        <v>0</v>
      </c>
      <c r="D10" s="59">
        <f>'Participant 7'!G15</f>
        <v>0</v>
      </c>
      <c r="E10" s="59">
        <f>'Participant 7'!G16</f>
        <v>0</v>
      </c>
      <c r="F10" s="59">
        <f>'Participant 7'!G17</f>
        <v>0</v>
      </c>
      <c r="G10" s="59">
        <f>'Participant 7'!G18</f>
        <v>0</v>
      </c>
      <c r="H10" s="59">
        <f>'Participant 7'!G19</f>
        <v>0</v>
      </c>
      <c r="I10" s="59">
        <f>'Participant 7'!G20</f>
        <v>0</v>
      </c>
      <c r="J10" s="59">
        <f t="shared" si="0"/>
        <v>0</v>
      </c>
    </row>
    <row r="11" spans="1:10" ht="16" x14ac:dyDescent="0.35">
      <c r="A11" s="68" t="str">
        <f>'Participant 8'!$B$7</f>
        <v>Participant 8</v>
      </c>
      <c r="B11" s="58">
        <f>'Participant 8'!B9</f>
        <v>0</v>
      </c>
      <c r="C11" s="59">
        <f>'Participant 8'!G14</f>
        <v>0</v>
      </c>
      <c r="D11" s="59">
        <f>'Participant 8'!G15</f>
        <v>0</v>
      </c>
      <c r="E11" s="59">
        <f>'Participant 8'!G16</f>
        <v>0</v>
      </c>
      <c r="F11" s="59">
        <f>'Participant 8'!G17</f>
        <v>0</v>
      </c>
      <c r="G11" s="59">
        <f>'Participant 8'!G18</f>
        <v>0</v>
      </c>
      <c r="H11" s="59">
        <f>'Participant 8'!G19</f>
        <v>0</v>
      </c>
      <c r="I11" s="59">
        <f>'Participant 8'!G20</f>
        <v>0</v>
      </c>
      <c r="J11" s="59">
        <f t="shared" si="0"/>
        <v>0</v>
      </c>
    </row>
    <row r="12" spans="1:10" ht="16" x14ac:dyDescent="0.35">
      <c r="A12" s="68" t="str">
        <f>'Participant 9'!$B$7</f>
        <v>Participant 9</v>
      </c>
      <c r="B12" s="58">
        <f>'Participant 9'!B10</f>
        <v>0</v>
      </c>
      <c r="C12" s="59">
        <f>'Participant 9'!G14</f>
        <v>0</v>
      </c>
      <c r="D12" s="59">
        <f>'Participant 10'!G15</f>
        <v>0</v>
      </c>
      <c r="E12" s="59">
        <f>'Participant 9'!G16</f>
        <v>0</v>
      </c>
      <c r="F12" s="59">
        <f>'Participant 9'!G17</f>
        <v>0</v>
      </c>
      <c r="G12" s="59">
        <f>'Participant 9'!G18</f>
        <v>0</v>
      </c>
      <c r="H12" s="59">
        <f>'Participant 9'!G19</f>
        <v>0</v>
      </c>
      <c r="I12" s="59">
        <f>'Participant 9'!G20</f>
        <v>0</v>
      </c>
      <c r="J12" s="59">
        <f t="shared" si="0"/>
        <v>0</v>
      </c>
    </row>
    <row r="13" spans="1:10" ht="16" x14ac:dyDescent="0.35">
      <c r="A13" s="68" t="str">
        <f>'Participant 10'!$B$7</f>
        <v>Participant 10</v>
      </c>
      <c r="B13" s="58">
        <f>'Participant 10'!B11</f>
        <v>0</v>
      </c>
      <c r="C13" s="59">
        <f>'Participant 10'!G14</f>
        <v>0</v>
      </c>
      <c r="D13" s="59">
        <f>'Participant 9'!G15</f>
        <v>0</v>
      </c>
      <c r="E13" s="59">
        <f>'Participant 10'!G16</f>
        <v>0</v>
      </c>
      <c r="F13" s="59">
        <f>'Participant 10'!G17</f>
        <v>0</v>
      </c>
      <c r="G13" s="59">
        <f>'Participant 10'!G18</f>
        <v>0</v>
      </c>
      <c r="H13" s="59">
        <f>'Participant 10'!G19</f>
        <v>0</v>
      </c>
      <c r="I13" s="59">
        <f>'Participant 10'!G20</f>
        <v>0</v>
      </c>
      <c r="J13" s="59">
        <f t="shared" si="0"/>
        <v>0</v>
      </c>
    </row>
    <row r="14" spans="1:10" ht="37" x14ac:dyDescent="0.35">
      <c r="C14" s="64" t="s">
        <v>2</v>
      </c>
      <c r="D14" s="64" t="s">
        <v>3</v>
      </c>
      <c r="E14" s="64" t="s">
        <v>4</v>
      </c>
      <c r="F14" s="64" t="s">
        <v>5</v>
      </c>
      <c r="G14" s="64" t="s">
        <v>6</v>
      </c>
      <c r="H14" s="64" t="s">
        <v>7</v>
      </c>
      <c r="I14" s="64" t="s">
        <v>8</v>
      </c>
      <c r="J14" s="64" t="s">
        <v>9</v>
      </c>
    </row>
    <row r="15" spans="1:10" x14ac:dyDescent="0.35">
      <c r="A15" s="61" t="s">
        <v>10</v>
      </c>
      <c r="B15" s="65"/>
      <c r="C15" s="59">
        <f>AVERAGE(C4:C12)</f>
        <v>0</v>
      </c>
      <c r="D15" s="59">
        <f t="shared" ref="D15:J15" si="1">AVERAGE(D4:D12)</f>
        <v>0</v>
      </c>
      <c r="E15" s="59">
        <f t="shared" si="1"/>
        <v>0</v>
      </c>
      <c r="F15" s="59">
        <f t="shared" si="1"/>
        <v>0</v>
      </c>
      <c r="G15" s="59">
        <f t="shared" si="1"/>
        <v>0</v>
      </c>
      <c r="H15" s="59">
        <f t="shared" si="1"/>
        <v>0</v>
      </c>
      <c r="I15" s="59">
        <f t="shared" si="1"/>
        <v>0</v>
      </c>
      <c r="J15" s="59">
        <f t="shared" si="1"/>
        <v>0</v>
      </c>
    </row>
    <row r="16" spans="1:10" x14ac:dyDescent="0.35">
      <c r="J16" s="66"/>
    </row>
    <row r="17" spans="1:10" ht="15" thickBot="1" x14ac:dyDescent="0.4">
      <c r="J17" s="66"/>
    </row>
    <row r="18" spans="1:10" ht="18.5" x14ac:dyDescent="0.35">
      <c r="A18" s="93" t="s">
        <v>11</v>
      </c>
      <c r="B18" s="94" t="s">
        <v>1</v>
      </c>
      <c r="C18" s="95" t="s">
        <v>2</v>
      </c>
      <c r="J18" s="66"/>
    </row>
    <row r="19" spans="1:10" ht="16" x14ac:dyDescent="0.35">
      <c r="A19" s="103" t="str">
        <f>'GRO 1'!B7</f>
        <v>GRO 1</v>
      </c>
      <c r="B19" s="62"/>
      <c r="C19" s="96">
        <f>'GRO 1'!G13</f>
        <v>0</v>
      </c>
    </row>
    <row r="20" spans="1:10" ht="16" x14ac:dyDescent="0.35">
      <c r="A20" s="103" t="str">
        <f>'GRO 2'!B7</f>
        <v>GRO 2</v>
      </c>
      <c r="B20" s="62"/>
      <c r="C20" s="96">
        <f>'GRO 2'!G13</f>
        <v>0</v>
      </c>
    </row>
    <row r="21" spans="1:10" ht="16" x14ac:dyDescent="0.35">
      <c r="A21" s="103" t="str">
        <f>'GRO 3'!B7</f>
        <v>GRO 3</v>
      </c>
      <c r="B21" s="62"/>
      <c r="C21" s="96">
        <f>'GRO 3'!G13</f>
        <v>0</v>
      </c>
    </row>
    <row r="22" spans="1:10" ht="15" thickBot="1" x14ac:dyDescent="0.4">
      <c r="A22" s="99" t="s">
        <v>12</v>
      </c>
      <c r="B22" s="100"/>
      <c r="C22" s="102">
        <f>AVERAGE(C19:C21)</f>
        <v>0</v>
      </c>
    </row>
    <row r="24" spans="1:10" ht="15" thickBot="1" x14ac:dyDescent="0.4"/>
    <row r="25" spans="1:10" ht="37" x14ac:dyDescent="0.35">
      <c r="A25" s="93" t="s">
        <v>13</v>
      </c>
      <c r="B25" s="94" t="s">
        <v>1</v>
      </c>
      <c r="C25" s="94" t="s">
        <v>2</v>
      </c>
      <c r="D25" s="94" t="s">
        <v>7</v>
      </c>
      <c r="E25" s="94" t="s">
        <v>14</v>
      </c>
      <c r="F25" s="95" t="s">
        <v>15</v>
      </c>
    </row>
    <row r="26" spans="1:10" ht="16" x14ac:dyDescent="0.4">
      <c r="A26" s="104" t="str">
        <f>'Handover Specialist 1'!B7</f>
        <v>HOS 1</v>
      </c>
      <c r="B26" s="58"/>
      <c r="C26" s="59">
        <f>'Handover Specialist 1'!G13</f>
        <v>0</v>
      </c>
      <c r="D26" s="59">
        <f>'Handover Specialist 1'!G14</f>
        <v>0</v>
      </c>
      <c r="E26" s="59">
        <f>'Handover Specialist 1'!G15</f>
        <v>0</v>
      </c>
      <c r="F26" s="96">
        <f>AVERAGE(C26:E26)</f>
        <v>0</v>
      </c>
    </row>
    <row r="27" spans="1:10" ht="16" x14ac:dyDescent="0.4">
      <c r="A27" s="104" t="str">
        <f>'Handover Specialist 2'!B7</f>
        <v>HOS 2</v>
      </c>
      <c r="B27" s="58"/>
      <c r="C27" s="59">
        <f>'Handover Specialist 2'!G13</f>
        <v>0</v>
      </c>
      <c r="D27" s="59">
        <f>'Handover Specialist 2'!G14</f>
        <v>0</v>
      </c>
      <c r="E27" s="59">
        <f>'Handover Specialist 2'!G15</f>
        <v>0</v>
      </c>
      <c r="F27" s="96">
        <f t="shared" ref="F27:F28" si="2">AVERAGE(C27:E27)</f>
        <v>0</v>
      </c>
    </row>
    <row r="28" spans="1:10" ht="16" x14ac:dyDescent="0.4">
      <c r="A28" s="104" t="str">
        <f>'Handover Specialist 3'!B7</f>
        <v>HOS 3</v>
      </c>
      <c r="B28" s="58"/>
      <c r="C28" s="59">
        <f>'Handover Specialist 3'!G13</f>
        <v>0</v>
      </c>
      <c r="D28" s="59">
        <f>'Handover Specialist 3'!G14</f>
        <v>0</v>
      </c>
      <c r="E28" s="59">
        <f>'Handover Specialist 3'!G15</f>
        <v>0</v>
      </c>
      <c r="F28" s="96">
        <f t="shared" si="2"/>
        <v>0</v>
      </c>
    </row>
    <row r="29" spans="1:10" x14ac:dyDescent="0.35">
      <c r="A29" s="97"/>
      <c r="B29" s="80"/>
      <c r="C29" s="81"/>
      <c r="D29" s="81"/>
      <c r="E29" s="81"/>
      <c r="F29" s="98"/>
    </row>
    <row r="30" spans="1:10" ht="15" thickBot="1" x14ac:dyDescent="0.4">
      <c r="A30" s="99" t="s">
        <v>12</v>
      </c>
      <c r="B30" s="100"/>
      <c r="C30" s="101">
        <f>AVERAGE(C26:C28)</f>
        <v>0</v>
      </c>
      <c r="D30" s="101">
        <f t="shared" ref="D30:F30" si="3">AVERAGE(D26:D28)</f>
        <v>0</v>
      </c>
      <c r="E30" s="101">
        <f t="shared" si="3"/>
        <v>0</v>
      </c>
      <c r="F30" s="101">
        <f t="shared" si="3"/>
        <v>0</v>
      </c>
      <c r="G30" s="67"/>
    </row>
    <row r="31" spans="1:10" ht="15" thickBot="1" x14ac:dyDescent="0.4">
      <c r="G31" s="67"/>
    </row>
    <row r="32" spans="1:10" ht="15" thickBot="1" x14ac:dyDescent="0.4">
      <c r="B32" s="9" t="s">
        <v>16</v>
      </c>
      <c r="C32" s="10" t="s">
        <v>17</v>
      </c>
      <c r="D32" s="10" t="s">
        <v>18</v>
      </c>
      <c r="E32" s="11" t="s">
        <v>19</v>
      </c>
      <c r="G32" s="67"/>
    </row>
    <row r="33" spans="1:5" ht="18.5" x14ac:dyDescent="0.35">
      <c r="A33" s="14" t="s">
        <v>2</v>
      </c>
      <c r="B33" s="15">
        <f>C15</f>
        <v>0</v>
      </c>
      <c r="C33" s="16">
        <v>0.8</v>
      </c>
      <c r="D33" s="16">
        <v>0.6</v>
      </c>
      <c r="E33" s="17">
        <v>1</v>
      </c>
    </row>
    <row r="34" spans="1:5" ht="18.5" x14ac:dyDescent="0.35">
      <c r="A34" s="20" t="s">
        <v>3</v>
      </c>
      <c r="B34" s="21">
        <f>D15</f>
        <v>0</v>
      </c>
      <c r="C34" s="22">
        <v>0.8</v>
      </c>
      <c r="D34" s="22">
        <v>0.6</v>
      </c>
      <c r="E34" s="23">
        <v>1</v>
      </c>
    </row>
    <row r="35" spans="1:5" ht="18.5" x14ac:dyDescent="0.35">
      <c r="A35" s="20" t="s">
        <v>4</v>
      </c>
      <c r="B35" s="21">
        <f>E15</f>
        <v>0</v>
      </c>
      <c r="C35" s="22">
        <v>0.8</v>
      </c>
      <c r="D35" s="22">
        <v>0.6</v>
      </c>
      <c r="E35" s="23">
        <v>1</v>
      </c>
    </row>
    <row r="36" spans="1:5" ht="18.5" x14ac:dyDescent="0.35">
      <c r="A36" s="20" t="s">
        <v>5</v>
      </c>
      <c r="B36" s="21">
        <f>F15</f>
        <v>0</v>
      </c>
      <c r="C36" s="22">
        <v>0.8</v>
      </c>
      <c r="D36" s="22">
        <v>0.6</v>
      </c>
      <c r="E36" s="23">
        <v>1</v>
      </c>
    </row>
    <row r="37" spans="1:5" ht="18.5" x14ac:dyDescent="0.35">
      <c r="A37" s="24" t="s">
        <v>6</v>
      </c>
      <c r="B37" s="21">
        <f>G15</f>
        <v>0</v>
      </c>
      <c r="C37" s="22">
        <v>0.8</v>
      </c>
      <c r="D37" s="22">
        <v>0.6</v>
      </c>
      <c r="E37" s="23">
        <v>1</v>
      </c>
    </row>
    <row r="38" spans="1:5" ht="18.5" x14ac:dyDescent="0.35">
      <c r="A38" s="24" t="s">
        <v>7</v>
      </c>
      <c r="B38" s="21">
        <f>H15</f>
        <v>0</v>
      </c>
      <c r="C38" s="22">
        <v>0.8</v>
      </c>
      <c r="D38" s="22">
        <v>0.6</v>
      </c>
      <c r="E38" s="23">
        <v>1</v>
      </c>
    </row>
    <row r="39" spans="1:5" ht="19" thickBot="1" x14ac:dyDescent="0.4">
      <c r="A39" s="25" t="s">
        <v>14</v>
      </c>
      <c r="B39" s="26">
        <f>I15</f>
        <v>0</v>
      </c>
      <c r="C39" s="91">
        <v>0.8</v>
      </c>
      <c r="D39" s="91">
        <v>0.6</v>
      </c>
      <c r="E39" s="92">
        <v>1</v>
      </c>
    </row>
    <row r="40" spans="1:5" ht="19" thickBot="1" x14ac:dyDescent="0.4">
      <c r="A40" s="89" t="s">
        <v>20</v>
      </c>
      <c r="B40" s="90">
        <f>J15</f>
        <v>0</v>
      </c>
      <c r="C40"/>
      <c r="D40"/>
      <c r="E40"/>
    </row>
  </sheetData>
  <sheetProtection selectLockedCells="1"/>
  <pageMargins left="0.7" right="0.7" top="0.75" bottom="0.75" header="0.3" footer="0.3"/>
  <ignoredErrors>
    <ignoredError xmlns:x16r3="http://schemas.microsoft.com/office/spreadsheetml/2018/08/main" sqref="B4:B13" x16r3:misleadingForma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F287-AC6A-425F-B9EA-86102E5D3242}">
  <dimension ref="A1:J195"/>
  <sheetViews>
    <sheetView topLeftCell="A7" workbookViewId="0">
      <selection activeCell="C18" sqref="C18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56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27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 t="s">
        <v>35</v>
      </c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1C586005-AA98-4017-9F44-D87566470ABF}">
      <formula1>"Yes, No"</formula1>
    </dataValidation>
  </dataValidations>
  <pageMargins left="0.7" right="0.7" top="0.75" bottom="0.75" header="0.3" footer="0.3"/>
  <headerFooter>
    <oddFooter>&amp;C_x000D_&amp;1#&amp;"Calibri"&amp;10&amp;K000000 Confidential - Internal Al-Futtaim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D1F2-6532-4B07-9E49-FF0874A2225A}">
  <dimension ref="A1:J195"/>
  <sheetViews>
    <sheetView zoomScale="27"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188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D2EDC711-084A-4CF1-A2AA-B988B9700DBE}">
      <formula1>"Yes, No"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CD57-3F9D-486A-B726-3AB5091FE4FC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189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0.5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0.5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0.5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0.5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0.5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0.5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0.5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DCA10050-00EA-4559-AC49-C5F02124936A}">
      <formula1>"Yes, No"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8793-6DE0-4F48-BB73-469CC3C96EE9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190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D7945F19-35D3-45C1-94DD-82B0BA5C6E7A}">
      <formula1>"Yes, No"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3463-E526-4762-AEC6-0A1CEAF7E0BC}">
  <dimension ref="A1:J195"/>
  <sheetViews>
    <sheetView workbookViewId="0">
      <selection activeCell="B10" sqref="B10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191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239295C5-5E64-42A1-9A2A-2ECE4D1C4D19}">
      <formula1>"Yes, No"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7C35-D573-462C-B72A-68A866020B3A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192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F9650C7E-83AE-49AC-9C96-F7A26FA7CA13}">
      <formula1>"Yes, No"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9E43-102B-49C0-B510-B06F467B0921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193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B287D121-8EE5-4536-891D-FE2D9D71CDB2}">
      <formula1>"Yes, No"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A907-A0BF-448D-8C03-6F70DED10EDD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194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3D6EE54A-995E-434C-9732-5F6D1468BE8D}">
      <formula1>"Yes, No"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E881-F4AB-4C71-BE57-687718093172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195</v>
      </c>
      <c r="C7" s="75"/>
      <c r="D7" s="5"/>
    </row>
    <row r="8" spans="1:10" ht="36.75" customHeight="1" thickBot="1" x14ac:dyDescent="0.55000000000000004">
      <c r="A8" s="6" t="s">
        <v>28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8B6B12C1-D195-49E5-803E-93A087FEB6C4}">
      <formula1>"Yes, 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1A03-FD6F-4090-8DB9-4F79CB461670}">
  <dimension ref="A1:J195"/>
  <sheetViews>
    <sheetView workbookViewId="0">
      <selection activeCell="B9" sqref="B9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196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36.75" customHeight="1" thickBot="1" x14ac:dyDescent="0.55000000000000004">
      <c r="A10" s="6" t="s">
        <v>30</v>
      </c>
      <c r="B10" s="79"/>
      <c r="C10" s="76"/>
      <c r="D10" s="5"/>
    </row>
    <row r="11" spans="1:10" ht="15" thickBot="1" x14ac:dyDescent="0.4">
      <c r="B11" s="105"/>
      <c r="C11" s="106"/>
      <c r="D11"/>
    </row>
    <row r="12" spans="1:10" ht="15" thickBot="1" x14ac:dyDescent="0.4">
      <c r="B12" s="54" t="s">
        <v>31</v>
      </c>
      <c r="C12" s="55"/>
      <c r="D12"/>
    </row>
    <row r="13" spans="1:10" ht="19" thickBot="1" x14ac:dyDescent="0.4">
      <c r="B13" s="52" t="s">
        <v>2</v>
      </c>
      <c r="C13" s="53" t="s">
        <v>32</v>
      </c>
      <c r="D13"/>
      <c r="G13" s="9" t="s">
        <v>16</v>
      </c>
      <c r="H13" s="10" t="s">
        <v>17</v>
      </c>
      <c r="I13" s="10" t="s">
        <v>18</v>
      </c>
      <c r="J13" s="11" t="s">
        <v>19</v>
      </c>
    </row>
    <row r="14" spans="1:10" ht="18.5" x14ac:dyDescent="0.35">
      <c r="B14" s="12" t="s">
        <v>33</v>
      </c>
      <c r="C14" s="13"/>
      <c r="D14"/>
      <c r="F14" s="14" t="s">
        <v>2</v>
      </c>
      <c r="G14" s="15">
        <f>D45</f>
        <v>0</v>
      </c>
      <c r="H14" s="16">
        <v>0.8</v>
      </c>
      <c r="I14" s="16">
        <v>0.6</v>
      </c>
      <c r="J14" s="17">
        <v>1</v>
      </c>
    </row>
    <row r="15" spans="1:10" ht="18.5" x14ac:dyDescent="0.4">
      <c r="B15" s="18" t="s">
        <v>34</v>
      </c>
      <c r="C15" s="19"/>
      <c r="D15">
        <f>IF(C15="Yes",1,0)</f>
        <v>0</v>
      </c>
      <c r="F15" s="20" t="s">
        <v>3</v>
      </c>
      <c r="G15" s="21">
        <f>SUM(D72)</f>
        <v>0</v>
      </c>
      <c r="H15" s="22">
        <v>0.8</v>
      </c>
      <c r="I15" s="22">
        <v>0.6</v>
      </c>
      <c r="J15" s="23">
        <v>1</v>
      </c>
    </row>
    <row r="16" spans="1:10" ht="18.5" x14ac:dyDescent="0.4">
      <c r="B16" s="18" t="s">
        <v>36</v>
      </c>
      <c r="C16" s="19"/>
      <c r="D16"/>
      <c r="F16" s="20" t="s">
        <v>4</v>
      </c>
      <c r="G16" s="21">
        <f>SUM(D99)</f>
        <v>0</v>
      </c>
      <c r="H16" s="22">
        <v>0.8</v>
      </c>
      <c r="I16" s="22">
        <v>0.6</v>
      </c>
      <c r="J16" s="23">
        <v>1</v>
      </c>
    </row>
    <row r="17" spans="2:10" ht="18.5" x14ac:dyDescent="0.4">
      <c r="B17" s="18" t="s">
        <v>37</v>
      </c>
      <c r="C17" s="19"/>
      <c r="D17">
        <f t="shared" ref="D17:D22" si="0">IF(C17="Yes",1,0)</f>
        <v>0</v>
      </c>
      <c r="F17" s="20" t="s">
        <v>5</v>
      </c>
      <c r="G17" s="21">
        <f>SUM(D125)</f>
        <v>0</v>
      </c>
      <c r="H17" s="22">
        <v>0.8</v>
      </c>
      <c r="I17" s="22">
        <v>0.6</v>
      </c>
      <c r="J17" s="23">
        <v>1</v>
      </c>
    </row>
    <row r="18" spans="2:10" ht="18.5" x14ac:dyDescent="0.4">
      <c r="B18" s="18" t="s">
        <v>38</v>
      </c>
      <c r="C18" s="19"/>
      <c r="D18">
        <f t="shared" si="0"/>
        <v>0</v>
      </c>
      <c r="F18" s="24" t="s">
        <v>6</v>
      </c>
      <c r="G18" s="21">
        <f>SUM(D155)</f>
        <v>0</v>
      </c>
      <c r="H18" s="22">
        <v>0.8</v>
      </c>
      <c r="I18" s="22">
        <v>0.6</v>
      </c>
      <c r="J18" s="23">
        <v>1</v>
      </c>
    </row>
    <row r="19" spans="2:10" ht="18.5" x14ac:dyDescent="0.4">
      <c r="B19" s="18" t="s">
        <v>39</v>
      </c>
      <c r="C19" s="19"/>
      <c r="D19">
        <f t="shared" si="0"/>
        <v>0</v>
      </c>
      <c r="F19" s="24" t="s">
        <v>7</v>
      </c>
      <c r="G19" s="21">
        <f>SUM(D182)</f>
        <v>0</v>
      </c>
      <c r="H19" s="22">
        <v>0.8</v>
      </c>
      <c r="I19" s="22">
        <v>0.6</v>
      </c>
      <c r="J19" s="23">
        <v>1</v>
      </c>
    </row>
    <row r="20" spans="2:10" ht="19" thickBot="1" x14ac:dyDescent="0.45">
      <c r="B20" s="18" t="s">
        <v>40</v>
      </c>
      <c r="C20" s="19"/>
      <c r="D20">
        <f t="shared" si="0"/>
        <v>0</v>
      </c>
      <c r="F20" s="25" t="s">
        <v>14</v>
      </c>
      <c r="G20" s="26">
        <f>D195</f>
        <v>0</v>
      </c>
      <c r="H20" s="22">
        <v>0.8</v>
      </c>
      <c r="I20" s="22">
        <v>0.6</v>
      </c>
      <c r="J20" s="23">
        <v>1</v>
      </c>
    </row>
    <row r="21" spans="2:10" ht="16" x14ac:dyDescent="0.4">
      <c r="B21" s="18" t="s">
        <v>41</v>
      </c>
      <c r="C21" s="19"/>
      <c r="D21">
        <f t="shared" si="0"/>
        <v>0</v>
      </c>
    </row>
    <row r="22" spans="2:10" ht="16" x14ac:dyDescent="0.4">
      <c r="B22" s="27" t="s">
        <v>42</v>
      </c>
      <c r="C22" s="19"/>
      <c r="D22">
        <f t="shared" si="0"/>
        <v>0</v>
      </c>
    </row>
    <row r="23" spans="2:10" ht="16" x14ac:dyDescent="0.35">
      <c r="B23" s="12" t="s">
        <v>43</v>
      </c>
      <c r="C23" s="13"/>
      <c r="D23"/>
    </row>
    <row r="24" spans="2:10" ht="16" x14ac:dyDescent="0.4">
      <c r="B24" s="28" t="s">
        <v>44</v>
      </c>
      <c r="C24" s="19"/>
      <c r="D24">
        <f>IF(C24="Yes",1,0)</f>
        <v>0</v>
      </c>
    </row>
    <row r="25" spans="2:10" ht="16" x14ac:dyDescent="0.4">
      <c r="B25" s="28" t="s">
        <v>45</v>
      </c>
      <c r="C25" s="19"/>
      <c r="D25">
        <f>IF(C25="Yes",1,0)</f>
        <v>0</v>
      </c>
    </row>
    <row r="26" spans="2:10" ht="16" x14ac:dyDescent="0.4">
      <c r="B26" s="28" t="s">
        <v>46</v>
      </c>
      <c r="C26" s="19"/>
      <c r="D26">
        <f>IF(C26="Yes",1,0)</f>
        <v>0</v>
      </c>
    </row>
    <row r="27" spans="2:10" ht="16" x14ac:dyDescent="0.35">
      <c r="B27" s="12" t="s">
        <v>47</v>
      </c>
      <c r="C27" s="13"/>
      <c r="D27"/>
    </row>
    <row r="28" spans="2:10" ht="16" x14ac:dyDescent="0.4">
      <c r="B28" s="28" t="s">
        <v>48</v>
      </c>
      <c r="C28" s="19"/>
      <c r="D28">
        <f>IF(C28="Yes",1,0)</f>
        <v>0</v>
      </c>
    </row>
    <row r="29" spans="2:10" ht="16" x14ac:dyDescent="0.4">
      <c r="B29" s="28" t="s">
        <v>49</v>
      </c>
      <c r="C29" s="19"/>
      <c r="D29">
        <f>IF(C29="Yes",1,0)</f>
        <v>0</v>
      </c>
    </row>
    <row r="30" spans="2:10" ht="16" x14ac:dyDescent="0.4">
      <c r="B30" s="28" t="s">
        <v>50</v>
      </c>
      <c r="C30" s="19"/>
      <c r="D30">
        <f>IF(C30="Yes",1,0)</f>
        <v>0</v>
      </c>
    </row>
    <row r="31" spans="2:10" ht="16" x14ac:dyDescent="0.4">
      <c r="B31" s="28" t="s">
        <v>51</v>
      </c>
      <c r="C31" s="19"/>
      <c r="D31">
        <f>IF(C31="Yes",1,0)</f>
        <v>0</v>
      </c>
    </row>
    <row r="32" spans="2:10" ht="16" x14ac:dyDescent="0.35">
      <c r="B32" s="12" t="s">
        <v>52</v>
      </c>
      <c r="C32" s="13"/>
      <c r="D32"/>
    </row>
    <row r="33" spans="2:4" ht="16" x14ac:dyDescent="0.4">
      <c r="B33" s="27" t="s">
        <v>53</v>
      </c>
      <c r="C33" s="19"/>
      <c r="D33">
        <f t="shared" ref="D33:D41" si="1">IF(C33="Yes",1,0)</f>
        <v>0</v>
      </c>
    </row>
    <row r="34" spans="2:4" ht="16" x14ac:dyDescent="0.4">
      <c r="B34" s="27" t="s">
        <v>54</v>
      </c>
      <c r="C34" s="19"/>
      <c r="D34">
        <f t="shared" si="1"/>
        <v>0</v>
      </c>
    </row>
    <row r="35" spans="2:4" ht="16" x14ac:dyDescent="0.4">
      <c r="B35" s="29" t="s">
        <v>55</v>
      </c>
      <c r="C35" s="19"/>
      <c r="D35">
        <f t="shared" si="1"/>
        <v>0</v>
      </c>
    </row>
    <row r="36" spans="2:4" ht="16" x14ac:dyDescent="0.4">
      <c r="B36" s="27" t="s">
        <v>56</v>
      </c>
      <c r="C36" s="19"/>
      <c r="D36">
        <f t="shared" si="1"/>
        <v>0</v>
      </c>
    </row>
    <row r="37" spans="2:4" ht="16" x14ac:dyDescent="0.4">
      <c r="B37" s="27" t="s">
        <v>57</v>
      </c>
      <c r="C37" s="19"/>
      <c r="D37">
        <f t="shared" si="1"/>
        <v>0</v>
      </c>
    </row>
    <row r="38" spans="2:4" ht="16" x14ac:dyDescent="0.4">
      <c r="B38" s="27" t="s">
        <v>58</v>
      </c>
      <c r="C38" s="19"/>
      <c r="D38">
        <f t="shared" si="1"/>
        <v>0</v>
      </c>
    </row>
    <row r="39" spans="2:4" ht="16" x14ac:dyDescent="0.4">
      <c r="B39" s="27" t="s">
        <v>59</v>
      </c>
      <c r="C39" s="19"/>
      <c r="D39">
        <f t="shared" si="1"/>
        <v>0</v>
      </c>
    </row>
    <row r="40" spans="2:4" ht="16" x14ac:dyDescent="0.4">
      <c r="B40" s="30" t="s">
        <v>60</v>
      </c>
      <c r="C40" s="19"/>
      <c r="D40">
        <f t="shared" si="1"/>
        <v>0</v>
      </c>
    </row>
    <row r="41" spans="2:4" ht="16" x14ac:dyDescent="0.4">
      <c r="B41" s="30" t="s">
        <v>61</v>
      </c>
      <c r="C41" s="19"/>
      <c r="D41">
        <f t="shared" si="1"/>
        <v>0</v>
      </c>
    </row>
    <row r="42" spans="2:4" ht="16" x14ac:dyDescent="0.35">
      <c r="B42" s="12" t="s">
        <v>62</v>
      </c>
      <c r="C42" s="13"/>
      <c r="D42"/>
    </row>
    <row r="43" spans="2:4" ht="16.5" thickBot="1" x14ac:dyDescent="0.45">
      <c r="B43" s="31" t="s">
        <v>63</v>
      </c>
      <c r="C43" s="32"/>
      <c r="D43">
        <f>IF(C43="Yes",1,0)</f>
        <v>0</v>
      </c>
    </row>
    <row r="44" spans="2:4" ht="16" x14ac:dyDescent="0.4">
      <c r="B44" s="33"/>
      <c r="C44" s="34"/>
      <c r="D44"/>
    </row>
    <row r="45" spans="2:4" ht="15" thickBot="1" x14ac:dyDescent="0.4">
      <c r="B45" s="33"/>
      <c r="C45" s="1"/>
      <c r="D45">
        <f>SUM(D15:D43)/25</f>
        <v>0</v>
      </c>
    </row>
    <row r="46" spans="2:4" x14ac:dyDescent="0.35">
      <c r="B46" s="35" t="s">
        <v>64</v>
      </c>
      <c r="C46" s="36"/>
      <c r="D46"/>
    </row>
    <row r="47" spans="2:4" ht="18.5" x14ac:dyDescent="0.35">
      <c r="B47" s="7" t="s">
        <v>3</v>
      </c>
      <c r="C47" s="8"/>
      <c r="D47"/>
    </row>
    <row r="48" spans="2:4" ht="16" x14ac:dyDescent="0.35">
      <c r="B48" s="12" t="s">
        <v>65</v>
      </c>
      <c r="C48" s="13"/>
      <c r="D48"/>
    </row>
    <row r="49" spans="2:6" ht="16" x14ac:dyDescent="0.4">
      <c r="B49" s="28" t="s">
        <v>66</v>
      </c>
      <c r="C49" s="19"/>
      <c r="D49">
        <f t="shared" ref="D49:D57" si="2">IF(C49="Yes",1,0)</f>
        <v>0</v>
      </c>
    </row>
    <row r="50" spans="2:6" ht="16" x14ac:dyDescent="0.4">
      <c r="B50" s="27" t="s">
        <v>67</v>
      </c>
      <c r="C50" s="19"/>
      <c r="D50">
        <f t="shared" si="2"/>
        <v>0</v>
      </c>
    </row>
    <row r="51" spans="2:6" ht="16" x14ac:dyDescent="0.4">
      <c r="B51" s="37" t="s">
        <v>68</v>
      </c>
      <c r="C51" s="19"/>
      <c r="D51">
        <f t="shared" si="2"/>
        <v>0</v>
      </c>
    </row>
    <row r="52" spans="2:6" ht="16" x14ac:dyDescent="0.4">
      <c r="B52" s="27" t="s">
        <v>69</v>
      </c>
      <c r="C52" s="19"/>
      <c r="D52">
        <f t="shared" si="2"/>
        <v>0</v>
      </c>
    </row>
    <row r="53" spans="2:6" ht="16" x14ac:dyDescent="0.4">
      <c r="B53" s="27" t="s">
        <v>70</v>
      </c>
      <c r="C53" s="19"/>
      <c r="D53">
        <f t="shared" si="2"/>
        <v>0</v>
      </c>
    </row>
    <row r="54" spans="2:6" ht="16" x14ac:dyDescent="0.4">
      <c r="B54" s="27" t="s">
        <v>71</v>
      </c>
      <c r="C54" s="19"/>
      <c r="D54">
        <f t="shared" si="2"/>
        <v>0</v>
      </c>
    </row>
    <row r="55" spans="2:6" ht="16" x14ac:dyDescent="0.4">
      <c r="B55" s="27" t="s">
        <v>72</v>
      </c>
      <c r="C55" s="19"/>
      <c r="D55">
        <f t="shared" si="2"/>
        <v>0</v>
      </c>
    </row>
    <row r="56" spans="2:6" ht="16" x14ac:dyDescent="0.4">
      <c r="B56" s="27" t="s">
        <v>73</v>
      </c>
      <c r="C56" s="19"/>
      <c r="D56">
        <f t="shared" si="2"/>
        <v>0</v>
      </c>
    </row>
    <row r="57" spans="2:6" ht="16" x14ac:dyDescent="0.4">
      <c r="B57" s="27" t="s">
        <v>74</v>
      </c>
      <c r="C57" s="19"/>
      <c r="D57">
        <f t="shared" si="2"/>
        <v>0</v>
      </c>
    </row>
    <row r="58" spans="2:6" ht="32" x14ac:dyDescent="0.35">
      <c r="B58" s="12" t="s">
        <v>75</v>
      </c>
      <c r="C58" s="13"/>
      <c r="D58"/>
    </row>
    <row r="59" spans="2:6" ht="16" x14ac:dyDescent="0.4">
      <c r="B59" s="27" t="s">
        <v>76</v>
      </c>
      <c r="C59" s="19"/>
      <c r="D59">
        <f>IF(C59="Yes",1,0)</f>
        <v>0</v>
      </c>
    </row>
    <row r="60" spans="2:6" ht="16" x14ac:dyDescent="0.4">
      <c r="B60" s="27" t="s">
        <v>77</v>
      </c>
      <c r="C60" s="19"/>
      <c r="D60">
        <f>IF(C60="Yes",1,0)</f>
        <v>0</v>
      </c>
      <c r="F60" s="38"/>
    </row>
    <row r="61" spans="2:6" ht="16.5" customHeight="1" x14ac:dyDescent="0.4">
      <c r="B61" s="27" t="s">
        <v>78</v>
      </c>
      <c r="C61" s="19"/>
      <c r="D61">
        <f>IF(C61="Yes",1,0)</f>
        <v>0</v>
      </c>
      <c r="E61" s="39"/>
      <c r="F61" s="40"/>
    </row>
    <row r="62" spans="2:6" ht="16" x14ac:dyDescent="0.35">
      <c r="B62" s="12" t="s">
        <v>79</v>
      </c>
      <c r="C62" s="13"/>
      <c r="D62"/>
      <c r="F62" s="40"/>
    </row>
    <row r="63" spans="2:6" ht="16" x14ac:dyDescent="0.4">
      <c r="B63" s="27" t="s">
        <v>80</v>
      </c>
      <c r="C63" s="19"/>
      <c r="D63">
        <f>IF(C63="Yes",1,0)</f>
        <v>0</v>
      </c>
      <c r="E63" s="41"/>
      <c r="F63" s="40"/>
    </row>
    <row r="64" spans="2:6" ht="16" x14ac:dyDescent="0.4">
      <c r="B64" s="27" t="s">
        <v>81</v>
      </c>
      <c r="C64" s="19"/>
      <c r="D64">
        <f>IF(C64="Yes",1,0)</f>
        <v>0</v>
      </c>
      <c r="E64" s="40"/>
      <c r="F64" s="40"/>
    </row>
    <row r="65" spans="2:6" ht="15" customHeight="1" x14ac:dyDescent="0.4">
      <c r="B65" s="27" t="s">
        <v>82</v>
      </c>
      <c r="C65" s="19"/>
      <c r="D65">
        <f>IF(C65="Yes",1,0)</f>
        <v>0</v>
      </c>
      <c r="E65" s="40"/>
      <c r="F65" s="40"/>
    </row>
    <row r="66" spans="2:6" ht="15" customHeight="1" x14ac:dyDescent="0.4">
      <c r="B66" s="27" t="s">
        <v>83</v>
      </c>
      <c r="C66" s="19"/>
      <c r="D66">
        <f>IF(C66="Yes",1,0)</f>
        <v>0</v>
      </c>
      <c r="E66" s="40"/>
      <c r="F66" s="40"/>
    </row>
    <row r="67" spans="2:6" ht="15" customHeight="1" x14ac:dyDescent="0.4">
      <c r="B67" s="27" t="s">
        <v>84</v>
      </c>
      <c r="C67" s="19"/>
      <c r="D67">
        <f>IF(C67="Yes",1,0)</f>
        <v>0</v>
      </c>
      <c r="E67" s="40"/>
      <c r="F67" s="40"/>
    </row>
    <row r="68" spans="2:6" ht="15" customHeight="1" x14ac:dyDescent="0.35">
      <c r="B68" s="12" t="s">
        <v>52</v>
      </c>
      <c r="C68" s="13"/>
      <c r="D68"/>
      <c r="E68" s="40"/>
      <c r="F68" s="40"/>
    </row>
    <row r="69" spans="2:6" ht="15" customHeight="1" x14ac:dyDescent="0.4">
      <c r="B69" s="27" t="s">
        <v>85</v>
      </c>
      <c r="C69" s="19"/>
      <c r="D69">
        <f>IF(C69="Yes",1,0)</f>
        <v>0</v>
      </c>
      <c r="E69" s="40"/>
      <c r="F69" s="40"/>
    </row>
    <row r="70" spans="2:6" ht="15" customHeight="1" x14ac:dyDescent="0.35">
      <c r="B70" s="12" t="s">
        <v>62</v>
      </c>
      <c r="C70" s="13"/>
      <c r="D70">
        <f>IF(C70="Yes",1,0)</f>
        <v>0</v>
      </c>
      <c r="E70" s="40"/>
      <c r="F70" s="40"/>
    </row>
    <row r="71" spans="2:6" ht="15" customHeight="1" thickBot="1" x14ac:dyDescent="0.45">
      <c r="B71" s="31" t="s">
        <v>86</v>
      </c>
      <c r="C71" s="32"/>
      <c r="D71">
        <f>IF(C71="Yes",1,0)</f>
        <v>0</v>
      </c>
      <c r="E71" s="40"/>
      <c r="F71" s="40"/>
    </row>
    <row r="72" spans="2:6" ht="15" customHeight="1" thickBot="1" x14ac:dyDescent="0.4">
      <c r="B72" s="42"/>
      <c r="C72" s="1"/>
      <c r="D72">
        <f>SUM(D48:D71)/19</f>
        <v>0</v>
      </c>
      <c r="E72" s="40"/>
    </row>
    <row r="73" spans="2:6" x14ac:dyDescent="0.35">
      <c r="B73" s="35" t="s">
        <v>87</v>
      </c>
      <c r="C73" s="36"/>
      <c r="D73"/>
    </row>
    <row r="74" spans="2:6" ht="18.5" x14ac:dyDescent="0.35">
      <c r="B74" s="7" t="s">
        <v>88</v>
      </c>
      <c r="C74" s="8"/>
      <c r="D74"/>
    </row>
    <row r="75" spans="2:6" ht="16" x14ac:dyDescent="0.35">
      <c r="B75" s="12" t="s">
        <v>89</v>
      </c>
      <c r="C75" s="13"/>
      <c r="D75"/>
    </row>
    <row r="76" spans="2:6" ht="16" x14ac:dyDescent="0.4">
      <c r="B76" s="28" t="s">
        <v>90</v>
      </c>
      <c r="C76" s="19"/>
      <c r="D76">
        <f t="shared" ref="D76:D81" si="3">IF(C76="Yes",1,0)</f>
        <v>0</v>
      </c>
    </row>
    <row r="77" spans="2:6" ht="16" x14ac:dyDescent="0.4">
      <c r="B77" s="28" t="s">
        <v>91</v>
      </c>
      <c r="C77" s="19"/>
      <c r="D77">
        <f t="shared" si="3"/>
        <v>0</v>
      </c>
    </row>
    <row r="78" spans="2:6" ht="29" x14ac:dyDescent="0.4">
      <c r="B78" s="28" t="s">
        <v>92</v>
      </c>
      <c r="C78" s="19"/>
      <c r="D78">
        <f t="shared" si="3"/>
        <v>0</v>
      </c>
      <c r="E78" s="43"/>
    </row>
    <row r="79" spans="2:6" ht="16" x14ac:dyDescent="0.4">
      <c r="B79" s="28" t="s">
        <v>93</v>
      </c>
      <c r="C79" s="19"/>
      <c r="D79">
        <f t="shared" si="3"/>
        <v>0</v>
      </c>
    </row>
    <row r="80" spans="2:6" ht="16" x14ac:dyDescent="0.4">
      <c r="B80" s="28" t="s">
        <v>94</v>
      </c>
      <c r="C80" s="19"/>
      <c r="D80">
        <f t="shared" si="3"/>
        <v>0</v>
      </c>
    </row>
    <row r="81" spans="2:10" ht="16" x14ac:dyDescent="0.4">
      <c r="B81" s="28" t="s">
        <v>95</v>
      </c>
      <c r="C81" s="19"/>
      <c r="D81">
        <f t="shared" si="3"/>
        <v>0</v>
      </c>
    </row>
    <row r="82" spans="2:10" ht="16" x14ac:dyDescent="0.35">
      <c r="B82" s="12" t="s">
        <v>96</v>
      </c>
      <c r="C82" s="13"/>
      <c r="D82"/>
    </row>
    <row r="83" spans="2:10" ht="16" x14ac:dyDescent="0.4">
      <c r="B83" s="28" t="s">
        <v>97</v>
      </c>
      <c r="C83" s="19"/>
      <c r="D83">
        <f>IF(C83="Yes",1,0)</f>
        <v>0</v>
      </c>
    </row>
    <row r="84" spans="2:10" ht="16" x14ac:dyDescent="0.4">
      <c r="B84" s="28" t="s">
        <v>98</v>
      </c>
      <c r="C84" s="19"/>
      <c r="D84">
        <f>IF(C84="Yes",1,0)</f>
        <v>0</v>
      </c>
      <c r="F84" s="44"/>
      <c r="G84" s="44"/>
      <c r="H84" s="44"/>
      <c r="I84" s="44"/>
      <c r="J84" s="44"/>
    </row>
    <row r="85" spans="2:10" s="44" customFormat="1" ht="16" x14ac:dyDescent="0.4">
      <c r="B85" s="28" t="s">
        <v>99</v>
      </c>
      <c r="C85" s="19"/>
      <c r="D85">
        <f>IF(C85="Yes",1,0)</f>
        <v>0</v>
      </c>
      <c r="F85"/>
      <c r="G85"/>
      <c r="H85"/>
      <c r="I85"/>
      <c r="J85"/>
    </row>
    <row r="86" spans="2:10" ht="16" x14ac:dyDescent="0.4">
      <c r="B86" s="28" t="s">
        <v>100</v>
      </c>
      <c r="C86" s="19"/>
      <c r="D86">
        <f>IF(C86="Yes",1,0)</f>
        <v>0</v>
      </c>
    </row>
    <row r="87" spans="2:10" ht="16" x14ac:dyDescent="0.35">
      <c r="B87" s="12" t="s">
        <v>101</v>
      </c>
      <c r="C87" s="13"/>
      <c r="D87"/>
    </row>
    <row r="88" spans="2:10" ht="16" x14ac:dyDescent="0.4">
      <c r="B88" s="28" t="s">
        <v>102</v>
      </c>
      <c r="C88" s="19"/>
      <c r="D88">
        <f>IF(C88="Yes",1,0)</f>
        <v>0</v>
      </c>
    </row>
    <row r="89" spans="2:10" ht="16" x14ac:dyDescent="0.4">
      <c r="B89" s="28" t="s">
        <v>103</v>
      </c>
      <c r="C89" s="19"/>
      <c r="D89">
        <f>IF(C89="Yes",1,0)</f>
        <v>0</v>
      </c>
    </row>
    <row r="90" spans="2:10" ht="16" x14ac:dyDescent="0.4">
      <c r="B90" s="28" t="s">
        <v>104</v>
      </c>
      <c r="C90" s="19"/>
      <c r="D90">
        <f>IF(C90="Yes",1,0)</f>
        <v>0</v>
      </c>
    </row>
    <row r="91" spans="2:10" ht="16" x14ac:dyDescent="0.35">
      <c r="B91" s="12" t="s">
        <v>105</v>
      </c>
      <c r="C91" s="13"/>
      <c r="D91"/>
    </row>
    <row r="92" spans="2:10" ht="16" x14ac:dyDescent="0.4">
      <c r="B92" s="28" t="s">
        <v>106</v>
      </c>
      <c r="C92" s="19"/>
      <c r="D92">
        <f>IF(C92="Yes",1,0)</f>
        <v>0</v>
      </c>
    </row>
    <row r="93" spans="2:10" ht="16" x14ac:dyDescent="0.4">
      <c r="B93" s="28" t="s">
        <v>107</v>
      </c>
      <c r="C93" s="19"/>
      <c r="D93">
        <f>IF(C93="Yes",1,0)</f>
        <v>0</v>
      </c>
    </row>
    <row r="94" spans="2:10" ht="16" x14ac:dyDescent="0.4">
      <c r="B94" s="28" t="s">
        <v>108</v>
      </c>
      <c r="C94" s="19"/>
      <c r="D94">
        <f>IF(C94="Yes",1,0)</f>
        <v>0</v>
      </c>
    </row>
    <row r="95" spans="2:10" ht="16" x14ac:dyDescent="0.35">
      <c r="B95" s="12" t="s">
        <v>52</v>
      </c>
      <c r="C95" s="13"/>
      <c r="D95"/>
    </row>
    <row r="96" spans="2:10" ht="16" x14ac:dyDescent="0.4">
      <c r="B96" s="27" t="s">
        <v>85</v>
      </c>
      <c r="C96" s="19"/>
      <c r="D96">
        <f>IF(C96="Yes",1,0)</f>
        <v>0</v>
      </c>
    </row>
    <row r="97" spans="2:4" ht="16" x14ac:dyDescent="0.35">
      <c r="B97" s="12" t="s">
        <v>62</v>
      </c>
      <c r="C97" s="13"/>
      <c r="D97"/>
    </row>
    <row r="98" spans="2:4" ht="16.5" thickBot="1" x14ac:dyDescent="0.45">
      <c r="B98" s="31" t="s">
        <v>109</v>
      </c>
      <c r="C98" s="32"/>
      <c r="D98">
        <f>IF(C98="Yes",1,0)</f>
        <v>0</v>
      </c>
    </row>
    <row r="99" spans="2:4" ht="15" thickBot="1" x14ac:dyDescent="0.4">
      <c r="B99" s="33"/>
      <c r="C99" s="1"/>
      <c r="D99">
        <f>SUM(D76:D98)/18</f>
        <v>0</v>
      </c>
    </row>
    <row r="100" spans="2:4" x14ac:dyDescent="0.35">
      <c r="B100" s="35" t="s">
        <v>110</v>
      </c>
      <c r="C100" s="36"/>
      <c r="D100"/>
    </row>
    <row r="101" spans="2:4" ht="18.5" x14ac:dyDescent="0.35">
      <c r="B101" s="7" t="s">
        <v>5</v>
      </c>
      <c r="C101" s="8"/>
      <c r="D101"/>
    </row>
    <row r="102" spans="2:4" ht="16" x14ac:dyDescent="0.35">
      <c r="B102" s="12" t="s">
        <v>111</v>
      </c>
      <c r="C102" s="13"/>
      <c r="D102"/>
    </row>
    <row r="103" spans="2:4" ht="16" x14ac:dyDescent="0.4">
      <c r="B103" s="28" t="s">
        <v>112</v>
      </c>
      <c r="C103" s="19"/>
      <c r="D103">
        <f>IF(C103="Yes",1,0)</f>
        <v>0</v>
      </c>
    </row>
    <row r="104" spans="2:4" ht="16" x14ac:dyDescent="0.4">
      <c r="B104" s="28" t="s">
        <v>113</v>
      </c>
      <c r="C104" s="19"/>
      <c r="D104">
        <f>IF(C104="Yes",1,0)</f>
        <v>0</v>
      </c>
    </row>
    <row r="105" spans="2:4" ht="16" x14ac:dyDescent="0.4">
      <c r="B105" s="28" t="s">
        <v>114</v>
      </c>
      <c r="C105" s="19"/>
      <c r="D105">
        <f>IF(C105="Yes",1,0)</f>
        <v>0</v>
      </c>
    </row>
    <row r="106" spans="2:4" ht="16" x14ac:dyDescent="0.35">
      <c r="B106" s="12" t="s">
        <v>115</v>
      </c>
      <c r="C106" s="13"/>
      <c r="D106"/>
    </row>
    <row r="107" spans="2:4" ht="16" x14ac:dyDescent="0.4">
      <c r="B107" s="28" t="s">
        <v>116</v>
      </c>
      <c r="C107" s="19"/>
      <c r="D107">
        <f>IF(C107="Yes",1,0)</f>
        <v>0</v>
      </c>
    </row>
    <row r="108" spans="2:4" ht="16" x14ac:dyDescent="0.4">
      <c r="B108" s="28" t="s">
        <v>117</v>
      </c>
      <c r="C108" s="19"/>
      <c r="D108">
        <f>IF(C108="Yes",1,0)</f>
        <v>0</v>
      </c>
    </row>
    <row r="109" spans="2:4" ht="16" x14ac:dyDescent="0.4">
      <c r="B109" s="28" t="s">
        <v>118</v>
      </c>
      <c r="C109" s="19"/>
      <c r="D109">
        <f>IF(C109="Yes",1,0)</f>
        <v>0</v>
      </c>
    </row>
    <row r="110" spans="2:4" ht="16" x14ac:dyDescent="0.35">
      <c r="B110" s="12" t="s">
        <v>119</v>
      </c>
      <c r="C110" s="13"/>
      <c r="D110"/>
    </row>
    <row r="111" spans="2:4" ht="16" x14ac:dyDescent="0.4">
      <c r="B111" s="28" t="s">
        <v>120</v>
      </c>
      <c r="C111" s="19"/>
      <c r="D111">
        <f>IF(C111="Yes",1,0)</f>
        <v>0</v>
      </c>
    </row>
    <row r="112" spans="2:4" ht="16" x14ac:dyDescent="0.4">
      <c r="B112" s="28" t="s">
        <v>121</v>
      </c>
      <c r="C112" s="19"/>
      <c r="D112">
        <f>IF(C112="Yes",1,0)</f>
        <v>0</v>
      </c>
    </row>
    <row r="113" spans="2:4" ht="16" x14ac:dyDescent="0.4">
      <c r="B113" s="28" t="s">
        <v>122</v>
      </c>
      <c r="C113" s="19"/>
      <c r="D113">
        <f>IF(C113="Yes",1,0)</f>
        <v>0</v>
      </c>
    </row>
    <row r="114" spans="2:4" ht="16" x14ac:dyDescent="0.35">
      <c r="B114" s="12" t="s">
        <v>123</v>
      </c>
      <c r="C114" s="13"/>
      <c r="D114"/>
    </row>
    <row r="115" spans="2:4" ht="16" x14ac:dyDescent="0.4">
      <c r="B115" s="28" t="s">
        <v>124</v>
      </c>
      <c r="C115" s="19"/>
      <c r="D115">
        <f>IF(C115="Yes",1,0)</f>
        <v>0</v>
      </c>
    </row>
    <row r="116" spans="2:4" ht="16" x14ac:dyDescent="0.4">
      <c r="B116" s="28" t="s">
        <v>125</v>
      </c>
      <c r="C116" s="19"/>
      <c r="D116">
        <f>IF(C116="Yes",1,0)</f>
        <v>0</v>
      </c>
    </row>
    <row r="117" spans="2:4" ht="16" x14ac:dyDescent="0.4">
      <c r="B117" s="28" t="s">
        <v>126</v>
      </c>
      <c r="C117" s="19"/>
      <c r="D117">
        <f>IF(C117="Yes",1,0)</f>
        <v>0</v>
      </c>
    </row>
    <row r="118" spans="2:4" ht="16" x14ac:dyDescent="0.35">
      <c r="B118" s="12" t="s">
        <v>127</v>
      </c>
      <c r="C118" s="13"/>
      <c r="D118"/>
    </row>
    <row r="119" spans="2:4" ht="16" x14ac:dyDescent="0.4">
      <c r="B119" s="28" t="s">
        <v>128</v>
      </c>
      <c r="C119" s="19"/>
      <c r="D119">
        <f>IF(C119="Yes",1,0)</f>
        <v>0</v>
      </c>
    </row>
    <row r="120" spans="2:4" ht="16" x14ac:dyDescent="0.4">
      <c r="B120" s="28" t="s">
        <v>129</v>
      </c>
      <c r="C120" s="19"/>
      <c r="D120">
        <f>IF(C120="Yes",1,0)</f>
        <v>0</v>
      </c>
    </row>
    <row r="121" spans="2:4" ht="16" x14ac:dyDescent="0.35">
      <c r="B121" s="12" t="s">
        <v>52</v>
      </c>
      <c r="C121" s="13"/>
      <c r="D121"/>
    </row>
    <row r="122" spans="2:4" ht="16" x14ac:dyDescent="0.4">
      <c r="B122" s="27" t="s">
        <v>85</v>
      </c>
      <c r="C122" s="19"/>
      <c r="D122">
        <f>IF(C122="Yes",1,0)</f>
        <v>0</v>
      </c>
    </row>
    <row r="123" spans="2:4" ht="16" x14ac:dyDescent="0.35">
      <c r="B123" s="12" t="s">
        <v>62</v>
      </c>
      <c r="C123" s="13"/>
      <c r="D123"/>
    </row>
    <row r="124" spans="2:4" ht="16.5" thickBot="1" x14ac:dyDescent="0.45">
      <c r="B124" s="31" t="s">
        <v>130</v>
      </c>
      <c r="C124" s="32"/>
      <c r="D124">
        <f>IF(C124="Yes",1,0)</f>
        <v>0</v>
      </c>
    </row>
    <row r="125" spans="2:4" ht="15" thickBot="1" x14ac:dyDescent="0.4">
      <c r="B125" s="33"/>
      <c r="C125" s="1"/>
      <c r="D125">
        <f>SUM(D103:D124)/16</f>
        <v>0</v>
      </c>
    </row>
    <row r="126" spans="2:4" x14ac:dyDescent="0.35">
      <c r="B126" s="35" t="s">
        <v>131</v>
      </c>
      <c r="C126" s="36"/>
      <c r="D126"/>
    </row>
    <row r="127" spans="2:4" ht="18.5" x14ac:dyDescent="0.35">
      <c r="B127" s="45" t="s">
        <v>6</v>
      </c>
      <c r="C127" s="8"/>
      <c r="D127"/>
    </row>
    <row r="128" spans="2:4" ht="16" x14ac:dyDescent="0.35">
      <c r="B128" s="12" t="s">
        <v>132</v>
      </c>
      <c r="C128" s="13"/>
      <c r="D128"/>
    </row>
    <row r="129" spans="2:4" ht="16" x14ac:dyDescent="0.4">
      <c r="B129" s="28" t="s">
        <v>133</v>
      </c>
      <c r="C129" s="19"/>
      <c r="D129">
        <f>IF(C129="Yes",1,0)</f>
        <v>0</v>
      </c>
    </row>
    <row r="130" spans="2:4" ht="16" x14ac:dyDescent="0.4">
      <c r="B130" s="28" t="s">
        <v>134</v>
      </c>
      <c r="C130" s="19"/>
      <c r="D130">
        <f>IF(C130="Yes",1,0)</f>
        <v>0</v>
      </c>
    </row>
    <row r="131" spans="2:4" ht="16" x14ac:dyDescent="0.4">
      <c r="B131" s="28" t="s">
        <v>135</v>
      </c>
      <c r="C131" s="19"/>
      <c r="D131">
        <f>IF(C131="Yes",1,0)</f>
        <v>0</v>
      </c>
    </row>
    <row r="132" spans="2:4" ht="16" x14ac:dyDescent="0.35">
      <c r="B132" s="12" t="s">
        <v>136</v>
      </c>
      <c r="C132" s="13"/>
      <c r="D132"/>
    </row>
    <row r="133" spans="2:4" ht="16" x14ac:dyDescent="0.4">
      <c r="B133" s="28" t="s">
        <v>137</v>
      </c>
      <c r="C133" s="19"/>
      <c r="D133">
        <f t="shared" ref="D133:D181" si="4">IF(C133="Yes",1,0)</f>
        <v>0</v>
      </c>
    </row>
    <row r="134" spans="2:4" ht="16" x14ac:dyDescent="0.4">
      <c r="B134" s="28" t="s">
        <v>138</v>
      </c>
      <c r="C134" s="19"/>
      <c r="D134">
        <f t="shared" si="4"/>
        <v>0</v>
      </c>
    </row>
    <row r="135" spans="2:4" ht="16" x14ac:dyDescent="0.4">
      <c r="B135" s="28" t="s">
        <v>139</v>
      </c>
      <c r="C135" s="19"/>
      <c r="D135">
        <f t="shared" si="4"/>
        <v>0</v>
      </c>
    </row>
    <row r="136" spans="2:4" ht="16" x14ac:dyDescent="0.35">
      <c r="B136" s="12" t="s">
        <v>140</v>
      </c>
      <c r="C136" s="13"/>
      <c r="D136"/>
    </row>
    <row r="137" spans="2:4" ht="16" x14ac:dyDescent="0.4">
      <c r="B137" s="28" t="s">
        <v>141</v>
      </c>
      <c r="C137" s="19"/>
      <c r="D137">
        <f t="shared" si="4"/>
        <v>0</v>
      </c>
    </row>
    <row r="138" spans="2:4" ht="16" x14ac:dyDescent="0.4">
      <c r="B138" s="28" t="s">
        <v>142</v>
      </c>
      <c r="C138" s="19"/>
      <c r="D138">
        <f t="shared" si="4"/>
        <v>0</v>
      </c>
    </row>
    <row r="139" spans="2:4" ht="16" x14ac:dyDescent="0.4">
      <c r="B139" s="28" t="s">
        <v>143</v>
      </c>
      <c r="C139" s="19"/>
      <c r="D139">
        <f t="shared" si="4"/>
        <v>0</v>
      </c>
    </row>
    <row r="140" spans="2:4" ht="16" x14ac:dyDescent="0.35">
      <c r="B140" s="12" t="s">
        <v>144</v>
      </c>
      <c r="C140" s="13"/>
      <c r="D140"/>
    </row>
    <row r="141" spans="2:4" ht="16" x14ac:dyDescent="0.4">
      <c r="B141" s="28" t="s">
        <v>145</v>
      </c>
      <c r="C141" s="19"/>
      <c r="D141">
        <f t="shared" si="4"/>
        <v>0</v>
      </c>
    </row>
    <row r="142" spans="2:4" ht="16" x14ac:dyDescent="0.4">
      <c r="B142" s="28" t="s">
        <v>146</v>
      </c>
      <c r="C142" s="19"/>
      <c r="D142">
        <f t="shared" si="4"/>
        <v>0</v>
      </c>
    </row>
    <row r="143" spans="2:4" ht="16" x14ac:dyDescent="0.4">
      <c r="B143" s="28" t="s">
        <v>147</v>
      </c>
      <c r="C143" s="19"/>
      <c r="D143">
        <f t="shared" si="4"/>
        <v>0</v>
      </c>
    </row>
    <row r="144" spans="2:4" ht="16" x14ac:dyDescent="0.35">
      <c r="B144" s="12" t="s">
        <v>148</v>
      </c>
      <c r="C144" s="13"/>
      <c r="D144"/>
    </row>
    <row r="145" spans="2:4" ht="16" x14ac:dyDescent="0.4">
      <c r="B145" s="27" t="s">
        <v>149</v>
      </c>
      <c r="C145" s="19"/>
      <c r="D145">
        <f t="shared" si="4"/>
        <v>0</v>
      </c>
    </row>
    <row r="146" spans="2:4" ht="16" x14ac:dyDescent="0.4">
      <c r="B146" s="27" t="s">
        <v>150</v>
      </c>
      <c r="C146" s="19"/>
      <c r="D146">
        <f t="shared" si="4"/>
        <v>0</v>
      </c>
    </row>
    <row r="147" spans="2:4" ht="16" x14ac:dyDescent="0.4">
      <c r="B147" s="27" t="s">
        <v>151</v>
      </c>
      <c r="C147" s="19"/>
      <c r="D147"/>
    </row>
    <row r="148" spans="2:4" ht="16" x14ac:dyDescent="0.4">
      <c r="B148" s="27" t="s">
        <v>152</v>
      </c>
      <c r="C148" s="19"/>
      <c r="D148">
        <f t="shared" si="4"/>
        <v>0</v>
      </c>
    </row>
    <row r="149" spans="2:4" ht="16" x14ac:dyDescent="0.35">
      <c r="B149" s="12" t="s">
        <v>153</v>
      </c>
      <c r="C149" s="13"/>
      <c r="D149"/>
    </row>
    <row r="150" spans="2:4" ht="29.5" x14ac:dyDescent="0.4">
      <c r="B150" s="46" t="s">
        <v>154</v>
      </c>
      <c r="C150" s="19"/>
      <c r="D150">
        <f t="shared" si="4"/>
        <v>0</v>
      </c>
    </row>
    <row r="151" spans="2:4" ht="16" x14ac:dyDescent="0.35">
      <c r="B151" s="12" t="s">
        <v>52</v>
      </c>
      <c r="C151" s="13"/>
      <c r="D151">
        <f t="shared" si="4"/>
        <v>0</v>
      </c>
    </row>
    <row r="152" spans="2:4" ht="16" x14ac:dyDescent="0.4">
      <c r="B152" s="27" t="s">
        <v>85</v>
      </c>
      <c r="C152" s="19"/>
      <c r="D152">
        <f>IF(C152="Yes",1,0)</f>
        <v>0</v>
      </c>
    </row>
    <row r="153" spans="2:4" ht="16" x14ac:dyDescent="0.35">
      <c r="B153" s="12" t="s">
        <v>62</v>
      </c>
      <c r="C153" s="13"/>
      <c r="D153"/>
    </row>
    <row r="154" spans="2:4" ht="16.5" thickBot="1" x14ac:dyDescent="0.45">
      <c r="B154" s="31" t="s">
        <v>155</v>
      </c>
      <c r="C154" s="32"/>
      <c r="D154">
        <f t="shared" si="4"/>
        <v>0</v>
      </c>
    </row>
    <row r="155" spans="2:4" ht="15" thickBot="1" x14ac:dyDescent="0.4">
      <c r="B155" s="33"/>
      <c r="C155" s="1"/>
      <c r="D155">
        <f>SUM(D129:D154)/19</f>
        <v>0</v>
      </c>
    </row>
    <row r="156" spans="2:4" x14ac:dyDescent="0.35">
      <c r="B156" s="35" t="s">
        <v>156</v>
      </c>
      <c r="C156" s="36"/>
      <c r="D156"/>
    </row>
    <row r="157" spans="2:4" ht="18.5" x14ac:dyDescent="0.35">
      <c r="B157" s="45" t="s">
        <v>7</v>
      </c>
      <c r="C157" s="8"/>
      <c r="D157"/>
    </row>
    <row r="158" spans="2:4" ht="16" x14ac:dyDescent="0.35">
      <c r="B158" s="12" t="s">
        <v>157</v>
      </c>
      <c r="C158" s="13"/>
      <c r="D158"/>
    </row>
    <row r="159" spans="2:4" ht="16" x14ac:dyDescent="0.4">
      <c r="B159" s="28" t="s">
        <v>158</v>
      </c>
      <c r="C159" s="19"/>
      <c r="D159">
        <f t="shared" si="4"/>
        <v>0</v>
      </c>
    </row>
    <row r="160" spans="2:4" ht="16" x14ac:dyDescent="0.4">
      <c r="B160" s="28" t="s">
        <v>159</v>
      </c>
      <c r="C160" s="19"/>
      <c r="D160">
        <f t="shared" si="4"/>
        <v>0</v>
      </c>
    </row>
    <row r="161" spans="2:4" ht="16" x14ac:dyDescent="0.4">
      <c r="B161" s="28" t="s">
        <v>160</v>
      </c>
      <c r="C161" s="19"/>
      <c r="D161">
        <f t="shared" si="4"/>
        <v>0</v>
      </c>
    </row>
    <row r="162" spans="2:4" ht="16" x14ac:dyDescent="0.35">
      <c r="B162" s="12" t="s">
        <v>161</v>
      </c>
      <c r="C162" s="13"/>
      <c r="D162"/>
    </row>
    <row r="163" spans="2:4" ht="16" x14ac:dyDescent="0.4">
      <c r="B163" s="28" t="s">
        <v>162</v>
      </c>
      <c r="C163" s="19"/>
      <c r="D163">
        <f t="shared" si="4"/>
        <v>0</v>
      </c>
    </row>
    <row r="164" spans="2:4" ht="16" x14ac:dyDescent="0.4">
      <c r="B164" s="28" t="s">
        <v>163</v>
      </c>
      <c r="C164" s="19"/>
      <c r="D164">
        <f t="shared" si="4"/>
        <v>0</v>
      </c>
    </row>
    <row r="165" spans="2:4" ht="16" x14ac:dyDescent="0.4">
      <c r="B165" s="28" t="s">
        <v>164</v>
      </c>
      <c r="C165" s="19"/>
      <c r="D165"/>
    </row>
    <row r="166" spans="2:4" ht="16" x14ac:dyDescent="0.4">
      <c r="B166" s="28" t="s">
        <v>165</v>
      </c>
      <c r="C166" s="19"/>
      <c r="D166">
        <f t="shared" si="4"/>
        <v>0</v>
      </c>
    </row>
    <row r="167" spans="2:4" ht="16" x14ac:dyDescent="0.35">
      <c r="B167" s="12" t="s">
        <v>166</v>
      </c>
      <c r="C167" s="13"/>
      <c r="D167"/>
    </row>
    <row r="168" spans="2:4" ht="16" x14ac:dyDescent="0.4">
      <c r="B168" s="28" t="s">
        <v>167</v>
      </c>
      <c r="C168" s="19"/>
      <c r="D168">
        <f t="shared" si="4"/>
        <v>0</v>
      </c>
    </row>
    <row r="169" spans="2:4" ht="16" x14ac:dyDescent="0.4">
      <c r="B169" s="28" t="s">
        <v>168</v>
      </c>
      <c r="C169" s="19"/>
      <c r="D169">
        <f t="shared" si="4"/>
        <v>0</v>
      </c>
    </row>
    <row r="170" spans="2:4" ht="16" x14ac:dyDescent="0.4">
      <c r="B170" s="28" t="s">
        <v>169</v>
      </c>
      <c r="C170" s="19"/>
      <c r="D170">
        <f t="shared" si="4"/>
        <v>0</v>
      </c>
    </row>
    <row r="171" spans="2:4" ht="16" x14ac:dyDescent="0.35">
      <c r="B171" s="12" t="s">
        <v>170</v>
      </c>
      <c r="C171" s="13"/>
      <c r="D171"/>
    </row>
    <row r="172" spans="2:4" ht="16" x14ac:dyDescent="0.4">
      <c r="B172" s="28" t="s">
        <v>171</v>
      </c>
      <c r="C172" s="19"/>
      <c r="D172">
        <f t="shared" si="4"/>
        <v>0</v>
      </c>
    </row>
    <row r="173" spans="2:4" ht="16" x14ac:dyDescent="0.4">
      <c r="B173" s="28" t="s">
        <v>172</v>
      </c>
      <c r="C173" s="19"/>
      <c r="D173">
        <f t="shared" si="4"/>
        <v>0</v>
      </c>
    </row>
    <row r="174" spans="2:4" ht="16" x14ac:dyDescent="0.4">
      <c r="B174" s="28" t="s">
        <v>173</v>
      </c>
      <c r="C174" s="19"/>
      <c r="D174">
        <f t="shared" si="4"/>
        <v>0</v>
      </c>
    </row>
    <row r="175" spans="2:4" ht="16" x14ac:dyDescent="0.35">
      <c r="B175" s="12" t="s">
        <v>174</v>
      </c>
      <c r="C175" s="13"/>
      <c r="D175"/>
    </row>
    <row r="176" spans="2:4" ht="16" x14ac:dyDescent="0.4">
      <c r="B176" s="28" t="s">
        <v>175</v>
      </c>
      <c r="C176" s="19"/>
      <c r="D176">
        <f t="shared" si="4"/>
        <v>0</v>
      </c>
    </row>
    <row r="177" spans="2:4" ht="16" x14ac:dyDescent="0.4">
      <c r="B177" s="28" t="s">
        <v>176</v>
      </c>
      <c r="C177" s="19"/>
      <c r="D177">
        <f t="shared" si="4"/>
        <v>0</v>
      </c>
    </row>
    <row r="178" spans="2:4" ht="16" x14ac:dyDescent="0.4">
      <c r="B178" s="28" t="s">
        <v>177</v>
      </c>
      <c r="C178" s="19"/>
      <c r="D178">
        <f t="shared" si="4"/>
        <v>0</v>
      </c>
    </row>
    <row r="179" spans="2:4" ht="16" x14ac:dyDescent="0.35">
      <c r="B179" s="12" t="s">
        <v>52</v>
      </c>
      <c r="C179" s="13"/>
      <c r="D179"/>
    </row>
    <row r="180" spans="2:4" ht="16" x14ac:dyDescent="0.4">
      <c r="B180" s="27" t="s">
        <v>85</v>
      </c>
      <c r="C180" s="19"/>
      <c r="D180">
        <f t="shared" si="4"/>
        <v>0</v>
      </c>
    </row>
    <row r="181" spans="2:4" ht="16.5" thickBot="1" x14ac:dyDescent="0.45">
      <c r="B181" s="31"/>
      <c r="C181" s="32"/>
      <c r="D181">
        <f t="shared" si="4"/>
        <v>0</v>
      </c>
    </row>
    <row r="182" spans="2:4" ht="16.5" thickBot="1" x14ac:dyDescent="0.45">
      <c r="B182" s="47"/>
      <c r="C182" s="48"/>
      <c r="D182">
        <f>SUM(D159:D181)/18</f>
        <v>0</v>
      </c>
    </row>
    <row r="183" spans="2:4" ht="18.5" x14ac:dyDescent="0.35">
      <c r="B183" s="49" t="s">
        <v>178</v>
      </c>
      <c r="C183" s="50"/>
      <c r="D183"/>
    </row>
    <row r="184" spans="2:4" ht="16" x14ac:dyDescent="0.35">
      <c r="B184" s="12" t="s">
        <v>179</v>
      </c>
      <c r="C184" s="13"/>
      <c r="D184"/>
    </row>
    <row r="185" spans="2:4" ht="16" x14ac:dyDescent="0.4">
      <c r="B185" s="37" t="s">
        <v>180</v>
      </c>
      <c r="C185" s="19"/>
      <c r="D185">
        <f t="shared" ref="D185:D194" si="5">IF(C185="Yes",1,0)</f>
        <v>0</v>
      </c>
    </row>
    <row r="186" spans="2:4" ht="16" x14ac:dyDescent="0.4">
      <c r="B186" s="37" t="s">
        <v>181</v>
      </c>
      <c r="C186" s="19"/>
      <c r="D186">
        <f t="shared" si="5"/>
        <v>0</v>
      </c>
    </row>
    <row r="187" spans="2:4" ht="16" x14ac:dyDescent="0.4">
      <c r="B187" s="37" t="s">
        <v>182</v>
      </c>
      <c r="C187" s="19"/>
      <c r="D187">
        <f t="shared" si="5"/>
        <v>0</v>
      </c>
    </row>
    <row r="188" spans="2:4" ht="16" x14ac:dyDescent="0.4">
      <c r="B188" s="37" t="s">
        <v>183</v>
      </c>
      <c r="C188" s="19"/>
      <c r="D188">
        <f t="shared" si="5"/>
        <v>0</v>
      </c>
    </row>
    <row r="189" spans="2:4" ht="16" x14ac:dyDescent="0.4">
      <c r="B189" s="37" t="s">
        <v>184</v>
      </c>
      <c r="C189" s="19"/>
      <c r="D189">
        <f t="shared" si="5"/>
        <v>0</v>
      </c>
    </row>
    <row r="190" spans="2:4" ht="16" x14ac:dyDescent="0.4">
      <c r="B190" s="37" t="s">
        <v>185</v>
      </c>
      <c r="C190" s="19"/>
      <c r="D190">
        <f t="shared" si="5"/>
        <v>0</v>
      </c>
    </row>
    <row r="191" spans="2:4" ht="16" x14ac:dyDescent="0.4">
      <c r="B191" s="37" t="s">
        <v>186</v>
      </c>
      <c r="C191" s="19"/>
      <c r="D191"/>
    </row>
    <row r="192" spans="2:4" ht="16" x14ac:dyDescent="0.4">
      <c r="B192" s="37" t="s">
        <v>187</v>
      </c>
      <c r="C192" s="19"/>
      <c r="D192">
        <f t="shared" si="5"/>
        <v>0</v>
      </c>
    </row>
    <row r="193" spans="2:4" ht="16" x14ac:dyDescent="0.35">
      <c r="B193" s="12" t="s">
        <v>52</v>
      </c>
      <c r="C193" s="13"/>
      <c r="D193"/>
    </row>
    <row r="194" spans="2:4" ht="16.5" thickBot="1" x14ac:dyDescent="0.45">
      <c r="B194" s="51" t="s">
        <v>85</v>
      </c>
      <c r="C194" s="32"/>
      <c r="D194">
        <f t="shared" si="5"/>
        <v>0</v>
      </c>
    </row>
    <row r="195" spans="2:4" x14ac:dyDescent="0.35">
      <c r="D195">
        <f>SUM(D185:D194)/9</f>
        <v>0</v>
      </c>
    </row>
  </sheetData>
  <sheetProtection sheet="1" objects="1" scenarios="1" selectLockedCells="1"/>
  <mergeCells count="1">
    <mergeCell ref="B11:C11"/>
  </mergeCells>
  <dataValidations count="1">
    <dataValidation type="list" allowBlank="1" showInputMessage="1" showErrorMessage="1" sqref="C176:C178 C15:C22 C24:C26 C28:C31 C43:C44 C49:C57 C69 C71 C76:C81 C83:C86 C88:C90 C92:C94 C96 C98 C103:C105 C107:C109 C111:C113 C115:C117 C119:C120 C122 C129:C131 C124 C133:C135 C137:C139 C141:C143 C145:C148 C150 C152 C154 C159:C161 C163:C166 C168:C170 C172:C174 C185:C192 C180:C182 C194 C59:C61 C63:C67 C33:C41" xr:uid="{7E422EC8-FDBF-4291-89C2-3A76AEA255C4}">
      <formula1>"Yes, 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516F-6530-44C0-8318-913A53B70D77}">
  <dimension ref="A1:J43"/>
  <sheetViews>
    <sheetView workbookViewId="0">
      <selection activeCell="C15" sqref="C15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198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15" thickBot="1" x14ac:dyDescent="0.4">
      <c r="B10" s="105"/>
      <c r="C10" s="106"/>
      <c r="D10"/>
    </row>
    <row r="11" spans="1:10" ht="15" thickBot="1" x14ac:dyDescent="0.4">
      <c r="B11" s="54" t="s">
        <v>31</v>
      </c>
      <c r="C11" s="55"/>
      <c r="D11"/>
    </row>
    <row r="12" spans="1:10" ht="19" thickBot="1" x14ac:dyDescent="0.4">
      <c r="B12" s="52" t="s">
        <v>2</v>
      </c>
      <c r="C12" s="53" t="s">
        <v>32</v>
      </c>
      <c r="D12"/>
      <c r="G12" s="9" t="s">
        <v>16</v>
      </c>
      <c r="H12" s="10" t="s">
        <v>17</v>
      </c>
      <c r="I12" s="10" t="s">
        <v>18</v>
      </c>
      <c r="J12" s="11" t="s">
        <v>19</v>
      </c>
    </row>
    <row r="13" spans="1:10" ht="19" thickBot="1" x14ac:dyDescent="0.4">
      <c r="B13" s="12" t="s">
        <v>33</v>
      </c>
      <c r="C13" s="13"/>
      <c r="D13"/>
      <c r="F13" s="85" t="s">
        <v>2</v>
      </c>
      <c r="G13" s="86">
        <f>D43</f>
        <v>0</v>
      </c>
      <c r="H13" s="87">
        <v>0.8</v>
      </c>
      <c r="I13" s="87">
        <v>0.6</v>
      </c>
      <c r="J13" s="88">
        <v>1</v>
      </c>
    </row>
    <row r="14" spans="1:10" ht="18.5" x14ac:dyDescent="0.4">
      <c r="B14" s="18" t="s">
        <v>34</v>
      </c>
      <c r="C14" s="19"/>
      <c r="D14">
        <f>IF(C14="Yes",1,0)</f>
        <v>0</v>
      </c>
      <c r="F14" s="82"/>
      <c r="G14" s="67"/>
      <c r="H14" s="67"/>
      <c r="I14" s="67"/>
      <c r="J14" s="67"/>
    </row>
    <row r="15" spans="1:10" ht="18.5" x14ac:dyDescent="0.4">
      <c r="B15" s="18" t="s">
        <v>36</v>
      </c>
      <c r="C15" s="19"/>
      <c r="D15">
        <f>IF(C15="Yes",1,0)</f>
        <v>0</v>
      </c>
      <c r="F15" s="82"/>
      <c r="G15" s="67"/>
      <c r="H15" s="67"/>
      <c r="I15" s="67"/>
      <c r="J15" s="67"/>
    </row>
    <row r="16" spans="1:10" ht="18.5" x14ac:dyDescent="0.4">
      <c r="B16" s="18" t="s">
        <v>37</v>
      </c>
      <c r="C16" s="19"/>
      <c r="D16">
        <f t="shared" ref="D16:D21" si="0">IF(C16="Yes",1,0)</f>
        <v>0</v>
      </c>
      <c r="F16" s="82"/>
      <c r="G16" s="67"/>
      <c r="H16" s="67"/>
      <c r="I16" s="67"/>
      <c r="J16" s="67"/>
    </row>
    <row r="17" spans="2:10" ht="18.5" x14ac:dyDescent="0.4">
      <c r="B17" s="18" t="s">
        <v>38</v>
      </c>
      <c r="C17" s="19"/>
      <c r="D17">
        <f t="shared" si="0"/>
        <v>0</v>
      </c>
      <c r="F17" s="83"/>
      <c r="G17" s="67"/>
      <c r="H17" s="67"/>
      <c r="I17" s="67"/>
      <c r="J17" s="67"/>
    </row>
    <row r="18" spans="2:10" ht="18.5" x14ac:dyDescent="0.4">
      <c r="B18" s="18" t="s">
        <v>39</v>
      </c>
      <c r="C18" s="19"/>
      <c r="D18">
        <f t="shared" si="0"/>
        <v>0</v>
      </c>
      <c r="F18" s="83"/>
      <c r="G18" s="67"/>
      <c r="H18" s="67"/>
      <c r="I18" s="67"/>
      <c r="J18" s="67"/>
    </row>
    <row r="19" spans="2:10" ht="18.5" x14ac:dyDescent="0.4">
      <c r="B19" s="18" t="s">
        <v>40</v>
      </c>
      <c r="C19" s="19"/>
      <c r="D19">
        <f t="shared" si="0"/>
        <v>0</v>
      </c>
      <c r="F19" s="82"/>
      <c r="G19" s="84"/>
      <c r="H19" s="67"/>
      <c r="I19" s="67"/>
      <c r="J19" s="67"/>
    </row>
    <row r="20" spans="2:10" ht="16" x14ac:dyDescent="0.4">
      <c r="B20" s="18" t="s">
        <v>41</v>
      </c>
      <c r="C20" s="19"/>
      <c r="D20">
        <f t="shared" si="0"/>
        <v>0</v>
      </c>
    </row>
    <row r="21" spans="2:10" ht="16" x14ac:dyDescent="0.4">
      <c r="B21" s="27" t="s">
        <v>42</v>
      </c>
      <c r="C21" s="19"/>
      <c r="D21">
        <f t="shared" si="0"/>
        <v>0</v>
      </c>
    </row>
    <row r="22" spans="2:10" ht="16" x14ac:dyDescent="0.35">
      <c r="B22" s="12" t="s">
        <v>43</v>
      </c>
      <c r="C22" s="13"/>
      <c r="D22"/>
    </row>
    <row r="23" spans="2:10" ht="16" x14ac:dyDescent="0.4">
      <c r="B23" s="28" t="s">
        <v>44</v>
      </c>
      <c r="C23" s="19"/>
      <c r="D23">
        <f>IF(C23="Yes",1,0)</f>
        <v>0</v>
      </c>
    </row>
    <row r="24" spans="2:10" ht="16" x14ac:dyDescent="0.4">
      <c r="B24" s="28" t="s">
        <v>45</v>
      </c>
      <c r="C24" s="19"/>
      <c r="D24">
        <f>IF(C24="Yes",1,0)</f>
        <v>0</v>
      </c>
    </row>
    <row r="25" spans="2:10" ht="16" x14ac:dyDescent="0.4">
      <c r="B25" s="28" t="s">
        <v>46</v>
      </c>
      <c r="C25" s="19"/>
      <c r="D25">
        <f>IF(C25="Yes",1,0)</f>
        <v>0</v>
      </c>
    </row>
    <row r="26" spans="2:10" ht="16" x14ac:dyDescent="0.35">
      <c r="B26" s="12" t="s">
        <v>47</v>
      </c>
      <c r="C26" s="13"/>
      <c r="D26"/>
    </row>
    <row r="27" spans="2:10" ht="16" x14ac:dyDescent="0.4">
      <c r="B27" s="28" t="s">
        <v>48</v>
      </c>
      <c r="C27" s="19"/>
      <c r="D27">
        <f>IF(C27="Yes",1,0)</f>
        <v>0</v>
      </c>
    </row>
    <row r="28" spans="2:10" ht="16" x14ac:dyDescent="0.4">
      <c r="B28" s="28" t="s">
        <v>49</v>
      </c>
      <c r="C28" s="19"/>
      <c r="D28">
        <f>IF(C28="Yes",1,0)</f>
        <v>0</v>
      </c>
    </row>
    <row r="29" spans="2:10" ht="16" x14ac:dyDescent="0.4">
      <c r="B29" s="28" t="s">
        <v>50</v>
      </c>
      <c r="C29" s="19"/>
      <c r="D29">
        <f>IF(C29="Yes",1,0)</f>
        <v>0</v>
      </c>
    </row>
    <row r="30" spans="2:10" ht="16" x14ac:dyDescent="0.4">
      <c r="B30" s="28" t="s">
        <v>51</v>
      </c>
      <c r="C30" s="19"/>
      <c r="D30">
        <f>IF(C30="Yes",1,0)</f>
        <v>0</v>
      </c>
    </row>
    <row r="31" spans="2:10" ht="16" x14ac:dyDescent="0.35">
      <c r="B31" s="12" t="s">
        <v>52</v>
      </c>
      <c r="C31" s="13"/>
      <c r="D31"/>
    </row>
    <row r="32" spans="2:10" ht="16" x14ac:dyDescent="0.4">
      <c r="B32" s="27" t="s">
        <v>53</v>
      </c>
      <c r="C32" s="19"/>
      <c r="D32">
        <f t="shared" ref="D32:D40" si="1">IF(C32="Yes",1,0)</f>
        <v>0</v>
      </c>
    </row>
    <row r="33" spans="2:4" ht="16" x14ac:dyDescent="0.4">
      <c r="B33" s="27" t="s">
        <v>54</v>
      </c>
      <c r="C33" s="19"/>
      <c r="D33">
        <f t="shared" si="1"/>
        <v>0</v>
      </c>
    </row>
    <row r="34" spans="2:4" ht="16" x14ac:dyDescent="0.4">
      <c r="B34" s="29" t="s">
        <v>55</v>
      </c>
      <c r="C34" s="19"/>
      <c r="D34">
        <f t="shared" si="1"/>
        <v>0</v>
      </c>
    </row>
    <row r="35" spans="2:4" ht="16" x14ac:dyDescent="0.4">
      <c r="B35" s="27" t="s">
        <v>56</v>
      </c>
      <c r="C35" s="19"/>
      <c r="D35">
        <f t="shared" si="1"/>
        <v>0</v>
      </c>
    </row>
    <row r="36" spans="2:4" ht="16" x14ac:dyDescent="0.4">
      <c r="B36" s="27" t="s">
        <v>57</v>
      </c>
      <c r="C36" s="19"/>
      <c r="D36">
        <f t="shared" si="1"/>
        <v>0</v>
      </c>
    </row>
    <row r="37" spans="2:4" ht="16" x14ac:dyDescent="0.4">
      <c r="B37" s="27" t="s">
        <v>58</v>
      </c>
      <c r="C37" s="19"/>
      <c r="D37">
        <f t="shared" si="1"/>
        <v>0</v>
      </c>
    </row>
    <row r="38" spans="2:4" ht="16" x14ac:dyDescent="0.4">
      <c r="B38" s="27" t="s">
        <v>59</v>
      </c>
      <c r="C38" s="19"/>
      <c r="D38">
        <f t="shared" si="1"/>
        <v>0</v>
      </c>
    </row>
    <row r="39" spans="2:4" ht="16" x14ac:dyDescent="0.4">
      <c r="B39" s="30" t="s">
        <v>60</v>
      </c>
      <c r="C39" s="19"/>
      <c r="D39">
        <f t="shared" si="1"/>
        <v>0</v>
      </c>
    </row>
    <row r="40" spans="2:4" ht="16" x14ac:dyDescent="0.4">
      <c r="B40" s="30" t="s">
        <v>61</v>
      </c>
      <c r="C40" s="19"/>
      <c r="D40">
        <f t="shared" si="1"/>
        <v>0</v>
      </c>
    </row>
    <row r="41" spans="2:4" ht="16" x14ac:dyDescent="0.35">
      <c r="B41" s="12" t="s">
        <v>62</v>
      </c>
      <c r="C41" s="13"/>
      <c r="D41"/>
    </row>
    <row r="42" spans="2:4" ht="16.5" thickBot="1" x14ac:dyDescent="0.45">
      <c r="B42" s="31" t="s">
        <v>199</v>
      </c>
      <c r="C42" s="32"/>
      <c r="D42">
        <f>IF(C42="Yes",1,0)</f>
        <v>0</v>
      </c>
    </row>
    <row r="43" spans="2:4" ht="16" x14ac:dyDescent="0.4">
      <c r="B43" s="33"/>
      <c r="C43" s="34"/>
      <c r="D43">
        <f>SUM(D14:D42)/25</f>
        <v>0</v>
      </c>
    </row>
  </sheetData>
  <sheetProtection sheet="1" objects="1" scenarios="1" selectLockedCells="1"/>
  <mergeCells count="1">
    <mergeCell ref="B10:C10"/>
  </mergeCells>
  <dataValidations count="1">
    <dataValidation type="list" allowBlank="1" showInputMessage="1" showErrorMessage="1" sqref="C14:C21 C23:C25 C27:C30 C42:C43 C32:C40" xr:uid="{CE8F852E-6B49-4D60-BA36-6794AC486CC7}">
      <formula1>"Yes, 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0A51-26E8-4329-AEF7-296EE8628816}">
  <dimension ref="A1:J43"/>
  <sheetViews>
    <sheetView workbookViewId="0">
      <selection activeCell="C14" sqref="C14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200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15" thickBot="1" x14ac:dyDescent="0.4">
      <c r="B10" s="105"/>
      <c r="C10" s="106"/>
      <c r="D10"/>
    </row>
    <row r="11" spans="1:10" ht="15" thickBot="1" x14ac:dyDescent="0.4">
      <c r="B11" s="54" t="s">
        <v>31</v>
      </c>
      <c r="C11" s="55"/>
      <c r="D11"/>
    </row>
    <row r="12" spans="1:10" ht="19" thickBot="1" x14ac:dyDescent="0.4">
      <c r="B12" s="52" t="s">
        <v>2</v>
      </c>
      <c r="C12" s="53" t="s">
        <v>32</v>
      </c>
      <c r="D12"/>
      <c r="G12" s="9" t="s">
        <v>16</v>
      </c>
      <c r="H12" s="10" t="s">
        <v>17</v>
      </c>
      <c r="I12" s="10" t="s">
        <v>18</v>
      </c>
      <c r="J12" s="11" t="s">
        <v>19</v>
      </c>
    </row>
    <row r="13" spans="1:10" ht="19" thickBot="1" x14ac:dyDescent="0.4">
      <c r="B13" s="12" t="s">
        <v>33</v>
      </c>
      <c r="C13" s="13"/>
      <c r="D13"/>
      <c r="F13" s="85" t="s">
        <v>2</v>
      </c>
      <c r="G13" s="86">
        <f>D43</f>
        <v>0</v>
      </c>
      <c r="H13" s="87">
        <v>0.8</v>
      </c>
      <c r="I13" s="87">
        <v>0.6</v>
      </c>
      <c r="J13" s="88">
        <v>1</v>
      </c>
    </row>
    <row r="14" spans="1:10" ht="18.5" x14ac:dyDescent="0.4">
      <c r="B14" s="18" t="s">
        <v>34</v>
      </c>
      <c r="C14" s="19"/>
      <c r="D14">
        <f>IF(C14="Yes",1,0)</f>
        <v>0</v>
      </c>
      <c r="F14" s="82"/>
      <c r="G14" s="67"/>
      <c r="H14" s="67"/>
      <c r="I14" s="67"/>
      <c r="J14" s="67"/>
    </row>
    <row r="15" spans="1:10" ht="18.5" x14ac:dyDescent="0.4">
      <c r="B15" s="18" t="s">
        <v>36</v>
      </c>
      <c r="C15" s="19"/>
      <c r="D15">
        <f>IF(C15="Yes",1,0)</f>
        <v>0</v>
      </c>
      <c r="F15" s="82"/>
      <c r="G15" s="67"/>
      <c r="H15" s="67"/>
      <c r="I15" s="67"/>
      <c r="J15" s="67"/>
    </row>
    <row r="16" spans="1:10" ht="18.5" x14ac:dyDescent="0.4">
      <c r="B16" s="18" t="s">
        <v>37</v>
      </c>
      <c r="C16" s="19"/>
      <c r="D16">
        <f t="shared" ref="D16:D21" si="0">IF(C16="Yes",1,0)</f>
        <v>0</v>
      </c>
      <c r="F16" s="82"/>
      <c r="G16" s="67"/>
      <c r="H16" s="67"/>
      <c r="I16" s="67"/>
      <c r="J16" s="67"/>
    </row>
    <row r="17" spans="2:10" ht="18.5" x14ac:dyDescent="0.4">
      <c r="B17" s="18" t="s">
        <v>38</v>
      </c>
      <c r="C17" s="19"/>
      <c r="D17">
        <f t="shared" si="0"/>
        <v>0</v>
      </c>
      <c r="F17" s="83"/>
      <c r="G17" s="67"/>
      <c r="H17" s="67"/>
      <c r="I17" s="67"/>
      <c r="J17" s="67"/>
    </row>
    <row r="18" spans="2:10" ht="18.5" x14ac:dyDescent="0.4">
      <c r="B18" s="18" t="s">
        <v>39</v>
      </c>
      <c r="C18" s="19"/>
      <c r="D18">
        <f t="shared" si="0"/>
        <v>0</v>
      </c>
      <c r="F18" s="83"/>
      <c r="G18" s="67"/>
      <c r="H18" s="67"/>
      <c r="I18" s="67"/>
      <c r="J18" s="67"/>
    </row>
    <row r="19" spans="2:10" ht="18.5" x14ac:dyDescent="0.4">
      <c r="B19" s="18" t="s">
        <v>40</v>
      </c>
      <c r="C19" s="19"/>
      <c r="D19">
        <f t="shared" si="0"/>
        <v>0</v>
      </c>
      <c r="F19" s="82"/>
      <c r="G19" s="84"/>
      <c r="H19" s="67"/>
      <c r="I19" s="67"/>
      <c r="J19" s="67"/>
    </row>
    <row r="20" spans="2:10" ht="16" x14ac:dyDescent="0.4">
      <c r="B20" s="18" t="s">
        <v>41</v>
      </c>
      <c r="C20" s="19"/>
      <c r="D20">
        <f t="shared" si="0"/>
        <v>0</v>
      </c>
    </row>
    <row r="21" spans="2:10" ht="16" x14ac:dyDescent="0.4">
      <c r="B21" s="27" t="s">
        <v>42</v>
      </c>
      <c r="C21" s="19"/>
      <c r="D21">
        <f t="shared" si="0"/>
        <v>0</v>
      </c>
    </row>
    <row r="22" spans="2:10" ht="16" x14ac:dyDescent="0.35">
      <c r="B22" s="12" t="s">
        <v>43</v>
      </c>
      <c r="C22" s="13"/>
      <c r="D22"/>
    </row>
    <row r="23" spans="2:10" ht="16" x14ac:dyDescent="0.4">
      <c r="B23" s="28" t="s">
        <v>44</v>
      </c>
      <c r="C23" s="19"/>
      <c r="D23">
        <f>IF(C23="Yes",1,0)</f>
        <v>0</v>
      </c>
    </row>
    <row r="24" spans="2:10" ht="16" x14ac:dyDescent="0.4">
      <c r="B24" s="28" t="s">
        <v>45</v>
      </c>
      <c r="C24" s="19"/>
      <c r="D24">
        <f>IF(C24="Yes",1,0)</f>
        <v>0</v>
      </c>
    </row>
    <row r="25" spans="2:10" ht="16" x14ac:dyDescent="0.4">
      <c r="B25" s="28" t="s">
        <v>46</v>
      </c>
      <c r="C25" s="19"/>
      <c r="D25">
        <f>IF(C25="Yes",1,0)</f>
        <v>0</v>
      </c>
    </row>
    <row r="26" spans="2:10" ht="16" x14ac:dyDescent="0.35">
      <c r="B26" s="12" t="s">
        <v>47</v>
      </c>
      <c r="C26" s="13"/>
      <c r="D26"/>
    </row>
    <row r="27" spans="2:10" ht="16" x14ac:dyDescent="0.4">
      <c r="B27" s="28" t="s">
        <v>48</v>
      </c>
      <c r="C27" s="19"/>
      <c r="D27">
        <f>IF(C27="Yes",1,0)</f>
        <v>0</v>
      </c>
    </row>
    <row r="28" spans="2:10" ht="16" x14ac:dyDescent="0.4">
      <c r="B28" s="28" t="s">
        <v>49</v>
      </c>
      <c r="C28" s="19"/>
      <c r="D28">
        <f>IF(C28="Yes",1,0)</f>
        <v>0</v>
      </c>
    </row>
    <row r="29" spans="2:10" ht="16" x14ac:dyDescent="0.4">
      <c r="B29" s="28" t="s">
        <v>50</v>
      </c>
      <c r="C29" s="19"/>
      <c r="D29">
        <f>IF(C29="Yes",1,0)</f>
        <v>0</v>
      </c>
    </row>
    <row r="30" spans="2:10" ht="16" x14ac:dyDescent="0.4">
      <c r="B30" s="28" t="s">
        <v>51</v>
      </c>
      <c r="C30" s="19"/>
      <c r="D30">
        <f>IF(C30="Yes",1,0)</f>
        <v>0</v>
      </c>
    </row>
    <row r="31" spans="2:10" ht="16" x14ac:dyDescent="0.35">
      <c r="B31" s="12" t="s">
        <v>52</v>
      </c>
      <c r="C31" s="13"/>
      <c r="D31"/>
    </row>
    <row r="32" spans="2:10" ht="16" x14ac:dyDescent="0.4">
      <c r="B32" s="27" t="s">
        <v>53</v>
      </c>
      <c r="C32" s="19"/>
      <c r="D32">
        <f t="shared" ref="D32:D40" si="1">IF(C32="Yes",1,0)</f>
        <v>0</v>
      </c>
    </row>
    <row r="33" spans="2:4" ht="16" x14ac:dyDescent="0.4">
      <c r="B33" s="27" t="s">
        <v>54</v>
      </c>
      <c r="C33" s="19"/>
      <c r="D33">
        <f t="shared" si="1"/>
        <v>0</v>
      </c>
    </row>
    <row r="34" spans="2:4" ht="16" x14ac:dyDescent="0.4">
      <c r="B34" s="29" t="s">
        <v>55</v>
      </c>
      <c r="C34" s="19"/>
      <c r="D34">
        <f t="shared" si="1"/>
        <v>0</v>
      </c>
    </row>
    <row r="35" spans="2:4" ht="16" x14ac:dyDescent="0.4">
      <c r="B35" s="27" t="s">
        <v>56</v>
      </c>
      <c r="C35" s="19"/>
      <c r="D35">
        <f t="shared" si="1"/>
        <v>0</v>
      </c>
    </row>
    <row r="36" spans="2:4" ht="16" x14ac:dyDescent="0.4">
      <c r="B36" s="27" t="s">
        <v>57</v>
      </c>
      <c r="C36" s="19"/>
      <c r="D36">
        <f t="shared" si="1"/>
        <v>0</v>
      </c>
    </row>
    <row r="37" spans="2:4" ht="16" x14ac:dyDescent="0.4">
      <c r="B37" s="27" t="s">
        <v>58</v>
      </c>
      <c r="C37" s="19"/>
      <c r="D37">
        <f t="shared" si="1"/>
        <v>0</v>
      </c>
    </row>
    <row r="38" spans="2:4" ht="16" x14ac:dyDescent="0.4">
      <c r="B38" s="27" t="s">
        <v>59</v>
      </c>
      <c r="C38" s="19"/>
      <c r="D38">
        <f t="shared" si="1"/>
        <v>0</v>
      </c>
    </row>
    <row r="39" spans="2:4" ht="16" x14ac:dyDescent="0.4">
      <c r="B39" s="30" t="s">
        <v>60</v>
      </c>
      <c r="C39" s="19"/>
      <c r="D39">
        <f t="shared" si="1"/>
        <v>0</v>
      </c>
    </row>
    <row r="40" spans="2:4" ht="16" x14ac:dyDescent="0.4">
      <c r="B40" s="30" t="s">
        <v>61</v>
      </c>
      <c r="C40" s="19"/>
      <c r="D40">
        <f t="shared" si="1"/>
        <v>0</v>
      </c>
    </row>
    <row r="41" spans="2:4" ht="16" x14ac:dyDescent="0.35">
      <c r="B41" s="12" t="s">
        <v>62</v>
      </c>
      <c r="C41" s="13"/>
      <c r="D41"/>
    </row>
    <row r="42" spans="2:4" ht="16.5" thickBot="1" x14ac:dyDescent="0.45">
      <c r="B42" s="31" t="s">
        <v>199</v>
      </c>
      <c r="C42" s="32"/>
      <c r="D42">
        <f>IF(C42="Yes",1,0)</f>
        <v>0</v>
      </c>
    </row>
    <row r="43" spans="2:4" ht="16" x14ac:dyDescent="0.4">
      <c r="B43" s="33"/>
      <c r="C43" s="34"/>
      <c r="D43">
        <f>SUM(D14:D42)/25</f>
        <v>0</v>
      </c>
    </row>
  </sheetData>
  <sheetProtection sheet="1" objects="1" scenarios="1" selectLockedCells="1"/>
  <mergeCells count="1">
    <mergeCell ref="B10:C10"/>
  </mergeCells>
  <dataValidations count="1">
    <dataValidation type="list" allowBlank="1" showInputMessage="1" showErrorMessage="1" sqref="C14:C21 C23:C25 C27:C30 C42:C43 C32:C40" xr:uid="{3D4B66E1-66BE-47BB-B6CF-B5241E79DF7A}">
      <formula1>"Yes, 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A44D-3BB2-4C0A-A2D3-0FFC4292C5A5}">
  <dimension ref="A1:J43"/>
  <sheetViews>
    <sheetView workbookViewId="0">
      <selection activeCell="C14" sqref="C14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201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15" thickBot="1" x14ac:dyDescent="0.4">
      <c r="B10" s="105"/>
      <c r="C10" s="106"/>
      <c r="D10"/>
    </row>
    <row r="11" spans="1:10" ht="15" thickBot="1" x14ac:dyDescent="0.4">
      <c r="B11" s="54" t="s">
        <v>31</v>
      </c>
      <c r="C11" s="55"/>
      <c r="D11"/>
    </row>
    <row r="12" spans="1:10" ht="19" thickBot="1" x14ac:dyDescent="0.4">
      <c r="B12" s="52" t="s">
        <v>2</v>
      </c>
      <c r="C12" s="53" t="s">
        <v>32</v>
      </c>
      <c r="D12"/>
      <c r="G12" s="9" t="s">
        <v>16</v>
      </c>
      <c r="H12" s="10" t="s">
        <v>17</v>
      </c>
      <c r="I12" s="10" t="s">
        <v>18</v>
      </c>
      <c r="J12" s="11" t="s">
        <v>19</v>
      </c>
    </row>
    <row r="13" spans="1:10" ht="19" thickBot="1" x14ac:dyDescent="0.4">
      <c r="B13" s="12" t="s">
        <v>33</v>
      </c>
      <c r="C13" s="13"/>
      <c r="D13"/>
      <c r="F13" s="85" t="s">
        <v>2</v>
      </c>
      <c r="G13" s="86">
        <f>D43</f>
        <v>0</v>
      </c>
      <c r="H13" s="87">
        <v>0.8</v>
      </c>
      <c r="I13" s="87">
        <v>0.6</v>
      </c>
      <c r="J13" s="88">
        <v>1</v>
      </c>
    </row>
    <row r="14" spans="1:10" ht="18.5" x14ac:dyDescent="0.4">
      <c r="B14" s="18" t="s">
        <v>34</v>
      </c>
      <c r="C14" s="19"/>
      <c r="D14">
        <f>IF(C14="Yes",1,0)</f>
        <v>0</v>
      </c>
      <c r="F14" s="82"/>
      <c r="G14" s="67"/>
      <c r="H14" s="67"/>
      <c r="I14" s="67"/>
      <c r="J14" s="67"/>
    </row>
    <row r="15" spans="1:10" ht="18.5" x14ac:dyDescent="0.4">
      <c r="B15" s="18" t="s">
        <v>36</v>
      </c>
      <c r="C15" s="19"/>
      <c r="D15">
        <f>IF(C15="Yes",1,0)</f>
        <v>0</v>
      </c>
      <c r="F15" s="82"/>
      <c r="G15" s="67"/>
      <c r="H15" s="67"/>
      <c r="I15" s="67"/>
      <c r="J15" s="67"/>
    </row>
    <row r="16" spans="1:10" ht="18.5" x14ac:dyDescent="0.4">
      <c r="B16" s="18" t="s">
        <v>37</v>
      </c>
      <c r="C16" s="19"/>
      <c r="D16">
        <f t="shared" ref="D16:D21" si="0">IF(C16="Yes",1,0)</f>
        <v>0</v>
      </c>
      <c r="F16" s="82"/>
      <c r="G16" s="67"/>
      <c r="H16" s="67"/>
      <c r="I16" s="67"/>
      <c r="J16" s="67"/>
    </row>
    <row r="17" spans="2:10" ht="18.5" x14ac:dyDescent="0.4">
      <c r="B17" s="18" t="s">
        <v>38</v>
      </c>
      <c r="C17" s="19"/>
      <c r="D17">
        <f t="shared" si="0"/>
        <v>0</v>
      </c>
      <c r="F17" s="83"/>
      <c r="G17" s="67"/>
      <c r="H17" s="67"/>
      <c r="I17" s="67"/>
      <c r="J17" s="67"/>
    </row>
    <row r="18" spans="2:10" ht="18.5" x14ac:dyDescent="0.4">
      <c r="B18" s="18" t="s">
        <v>39</v>
      </c>
      <c r="C18" s="19"/>
      <c r="D18">
        <f t="shared" si="0"/>
        <v>0</v>
      </c>
      <c r="F18" s="83"/>
      <c r="G18" s="67"/>
      <c r="H18" s="67"/>
      <c r="I18" s="67"/>
      <c r="J18" s="67"/>
    </row>
    <row r="19" spans="2:10" ht="18.5" x14ac:dyDescent="0.4">
      <c r="B19" s="18" t="s">
        <v>40</v>
      </c>
      <c r="C19" s="19"/>
      <c r="D19">
        <f t="shared" si="0"/>
        <v>0</v>
      </c>
      <c r="F19" s="82"/>
      <c r="G19" s="84"/>
      <c r="H19" s="67"/>
      <c r="I19" s="67"/>
      <c r="J19" s="67"/>
    </row>
    <row r="20" spans="2:10" ht="16" x14ac:dyDescent="0.4">
      <c r="B20" s="18" t="s">
        <v>41</v>
      </c>
      <c r="C20" s="19"/>
      <c r="D20">
        <f t="shared" si="0"/>
        <v>0</v>
      </c>
    </row>
    <row r="21" spans="2:10" ht="16" x14ac:dyDescent="0.4">
      <c r="B21" s="27" t="s">
        <v>42</v>
      </c>
      <c r="C21" s="19"/>
      <c r="D21">
        <f t="shared" si="0"/>
        <v>0</v>
      </c>
    </row>
    <row r="22" spans="2:10" ht="16" x14ac:dyDescent="0.35">
      <c r="B22" s="12" t="s">
        <v>43</v>
      </c>
      <c r="C22" s="13"/>
      <c r="D22"/>
    </row>
    <row r="23" spans="2:10" ht="16" x14ac:dyDescent="0.4">
      <c r="B23" s="28" t="s">
        <v>44</v>
      </c>
      <c r="C23" s="19"/>
      <c r="D23">
        <f>IF(C23="Yes",1,0)</f>
        <v>0</v>
      </c>
    </row>
    <row r="24" spans="2:10" ht="16" x14ac:dyDescent="0.4">
      <c r="B24" s="28" t="s">
        <v>45</v>
      </c>
      <c r="C24" s="19"/>
      <c r="D24">
        <f>IF(C24="Yes",1,0)</f>
        <v>0</v>
      </c>
    </row>
    <row r="25" spans="2:10" ht="16" x14ac:dyDescent="0.4">
      <c r="B25" s="28" t="s">
        <v>46</v>
      </c>
      <c r="C25" s="19"/>
      <c r="D25">
        <f>IF(C25="Yes",1,0)</f>
        <v>0</v>
      </c>
    </row>
    <row r="26" spans="2:10" ht="16" x14ac:dyDescent="0.35">
      <c r="B26" s="12" t="s">
        <v>47</v>
      </c>
      <c r="C26" s="13"/>
      <c r="D26"/>
    </row>
    <row r="27" spans="2:10" ht="16" x14ac:dyDescent="0.4">
      <c r="B27" s="28" t="s">
        <v>48</v>
      </c>
      <c r="C27" s="19"/>
      <c r="D27">
        <f>IF(C27="Yes",1,0)</f>
        <v>0</v>
      </c>
    </row>
    <row r="28" spans="2:10" ht="16" x14ac:dyDescent="0.4">
      <c r="B28" s="28" t="s">
        <v>49</v>
      </c>
      <c r="C28" s="19"/>
      <c r="D28">
        <f>IF(C28="Yes",1,0)</f>
        <v>0</v>
      </c>
    </row>
    <row r="29" spans="2:10" ht="16" x14ac:dyDescent="0.4">
      <c r="B29" s="28" t="s">
        <v>50</v>
      </c>
      <c r="C29" s="19"/>
      <c r="D29">
        <f>IF(C29="Yes",1,0)</f>
        <v>0</v>
      </c>
    </row>
    <row r="30" spans="2:10" ht="16" x14ac:dyDescent="0.4">
      <c r="B30" s="28" t="s">
        <v>51</v>
      </c>
      <c r="C30" s="19"/>
      <c r="D30">
        <f>IF(C30="Yes",1,0)</f>
        <v>0</v>
      </c>
    </row>
    <row r="31" spans="2:10" ht="16" x14ac:dyDescent="0.35">
      <c r="B31" s="12" t="s">
        <v>52</v>
      </c>
      <c r="C31" s="13"/>
      <c r="D31"/>
    </row>
    <row r="32" spans="2:10" ht="16" x14ac:dyDescent="0.4">
      <c r="B32" s="27" t="s">
        <v>53</v>
      </c>
      <c r="C32" s="19"/>
      <c r="D32">
        <f t="shared" ref="D32:D40" si="1">IF(C32="Yes",1,0)</f>
        <v>0</v>
      </c>
    </row>
    <row r="33" spans="2:4" ht="16" x14ac:dyDescent="0.4">
      <c r="B33" s="27" t="s">
        <v>54</v>
      </c>
      <c r="C33" s="19"/>
      <c r="D33">
        <f t="shared" si="1"/>
        <v>0</v>
      </c>
    </row>
    <row r="34" spans="2:4" ht="16" x14ac:dyDescent="0.4">
      <c r="B34" s="29" t="s">
        <v>55</v>
      </c>
      <c r="C34" s="19"/>
      <c r="D34">
        <f t="shared" si="1"/>
        <v>0</v>
      </c>
    </row>
    <row r="35" spans="2:4" ht="16" x14ac:dyDescent="0.4">
      <c r="B35" s="27" t="s">
        <v>56</v>
      </c>
      <c r="C35" s="19"/>
      <c r="D35">
        <f t="shared" si="1"/>
        <v>0</v>
      </c>
    </row>
    <row r="36" spans="2:4" ht="16" x14ac:dyDescent="0.4">
      <c r="B36" s="27" t="s">
        <v>57</v>
      </c>
      <c r="C36" s="19"/>
      <c r="D36">
        <f t="shared" si="1"/>
        <v>0</v>
      </c>
    </row>
    <row r="37" spans="2:4" ht="16" x14ac:dyDescent="0.4">
      <c r="B37" s="27" t="s">
        <v>58</v>
      </c>
      <c r="C37" s="19"/>
      <c r="D37">
        <f t="shared" si="1"/>
        <v>0</v>
      </c>
    </row>
    <row r="38" spans="2:4" ht="16" x14ac:dyDescent="0.4">
      <c r="B38" s="27" t="s">
        <v>59</v>
      </c>
      <c r="C38" s="19"/>
      <c r="D38">
        <f t="shared" si="1"/>
        <v>0</v>
      </c>
    </row>
    <row r="39" spans="2:4" ht="16" x14ac:dyDescent="0.4">
      <c r="B39" s="30" t="s">
        <v>60</v>
      </c>
      <c r="C39" s="19"/>
      <c r="D39">
        <f t="shared" si="1"/>
        <v>0</v>
      </c>
    </row>
    <row r="40" spans="2:4" ht="16" x14ac:dyDescent="0.4">
      <c r="B40" s="30" t="s">
        <v>61</v>
      </c>
      <c r="C40" s="19"/>
      <c r="D40">
        <f t="shared" si="1"/>
        <v>0</v>
      </c>
    </row>
    <row r="41" spans="2:4" ht="16" x14ac:dyDescent="0.35">
      <c r="B41" s="12" t="s">
        <v>62</v>
      </c>
      <c r="C41" s="13"/>
      <c r="D41"/>
    </row>
    <row r="42" spans="2:4" ht="16.5" thickBot="1" x14ac:dyDescent="0.45">
      <c r="B42" s="31" t="s">
        <v>199</v>
      </c>
      <c r="C42" s="32"/>
      <c r="D42">
        <f>IF(C42="Yes",1,0)</f>
        <v>0</v>
      </c>
    </row>
    <row r="43" spans="2:4" ht="16" x14ac:dyDescent="0.4">
      <c r="B43" s="33"/>
      <c r="C43" s="34"/>
      <c r="D43">
        <f>SUM(D14:D42)/25</f>
        <v>0</v>
      </c>
    </row>
  </sheetData>
  <sheetProtection sheet="1" objects="1" scenarios="1" selectLockedCells="1"/>
  <mergeCells count="1">
    <mergeCell ref="B10:C10"/>
  </mergeCells>
  <dataValidations count="1">
    <dataValidation type="list" allowBlank="1" showInputMessage="1" showErrorMessage="1" sqref="C14:C21 C23:C25 C27:C30 C42:C43 C32:C40" xr:uid="{1A590ED6-4BD1-40E7-BB8A-06BE53EAB080}">
      <formula1>"Yes, No"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FE4-F08E-468D-843E-2AE876B069D1}">
  <dimension ref="A1:J194"/>
  <sheetViews>
    <sheetView workbookViewId="0">
      <selection activeCell="C14" sqref="C14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202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15" thickBot="1" x14ac:dyDescent="0.4">
      <c r="B10" s="105"/>
      <c r="C10" s="106"/>
      <c r="D10"/>
    </row>
    <row r="11" spans="1:10" ht="15" thickBot="1" x14ac:dyDescent="0.4">
      <c r="B11" s="54" t="s">
        <v>31</v>
      </c>
      <c r="C11" s="55"/>
      <c r="D11"/>
    </row>
    <row r="12" spans="1:10" ht="19" thickBot="1" x14ac:dyDescent="0.4">
      <c r="B12" s="52" t="s">
        <v>2</v>
      </c>
      <c r="C12" s="53" t="s">
        <v>32</v>
      </c>
      <c r="D12"/>
      <c r="G12" s="9" t="s">
        <v>16</v>
      </c>
      <c r="H12" s="10" t="s">
        <v>17</v>
      </c>
      <c r="I12" s="10" t="s">
        <v>18</v>
      </c>
      <c r="J12" s="11" t="s">
        <v>19</v>
      </c>
    </row>
    <row r="13" spans="1:10" ht="18.5" x14ac:dyDescent="0.35">
      <c r="B13" s="12" t="s">
        <v>33</v>
      </c>
      <c r="C13" s="13"/>
      <c r="D13"/>
      <c r="F13" s="14" t="s">
        <v>2</v>
      </c>
      <c r="G13" s="15">
        <f>D44</f>
        <v>0</v>
      </c>
      <c r="H13" s="16">
        <v>0.8</v>
      </c>
      <c r="I13" s="16">
        <v>0.6</v>
      </c>
      <c r="J13" s="17">
        <v>1</v>
      </c>
    </row>
    <row r="14" spans="1:10" ht="18.5" x14ac:dyDescent="0.4">
      <c r="B14" s="18" t="s">
        <v>34</v>
      </c>
      <c r="C14" s="19"/>
      <c r="D14">
        <f>IF(C14="Yes",1,0)</f>
        <v>0</v>
      </c>
      <c r="F14" s="24" t="s">
        <v>7</v>
      </c>
      <c r="G14" s="21">
        <f>D72</f>
        <v>0</v>
      </c>
      <c r="H14" s="22">
        <v>0.8</v>
      </c>
      <c r="I14" s="22">
        <v>0.6</v>
      </c>
      <c r="J14" s="23">
        <v>1</v>
      </c>
    </row>
    <row r="15" spans="1:10" ht="19" thickBot="1" x14ac:dyDescent="0.45">
      <c r="B15" s="18" t="s">
        <v>36</v>
      </c>
      <c r="C15" s="19"/>
      <c r="D15">
        <f>IF(C15="Yes",1,0)</f>
        <v>0</v>
      </c>
      <c r="F15" s="25" t="s">
        <v>14</v>
      </c>
      <c r="G15" s="26">
        <f>D85</f>
        <v>0</v>
      </c>
      <c r="H15" s="22">
        <v>0.8</v>
      </c>
      <c r="I15" s="22">
        <v>0.6</v>
      </c>
      <c r="J15" s="23">
        <v>1</v>
      </c>
    </row>
    <row r="16" spans="1:10" ht="19" thickBot="1" x14ac:dyDescent="0.45">
      <c r="B16" s="18" t="s">
        <v>37</v>
      </c>
      <c r="C16" s="19"/>
      <c r="D16">
        <f t="shared" ref="D16:D21" si="0">IF(C16="Yes",1,0)</f>
        <v>0</v>
      </c>
      <c r="F16" s="25" t="s">
        <v>15</v>
      </c>
      <c r="G16" s="26">
        <f>AVERAGE(G13:G15)</f>
        <v>0</v>
      </c>
      <c r="H16" s="91">
        <v>0.8</v>
      </c>
      <c r="I16" s="91">
        <v>0.6</v>
      </c>
      <c r="J16" s="92">
        <v>1</v>
      </c>
    </row>
    <row r="17" spans="2:4" ht="16" x14ac:dyDescent="0.4">
      <c r="B17" s="18" t="s">
        <v>38</v>
      </c>
      <c r="C17" s="19"/>
      <c r="D17">
        <f t="shared" si="0"/>
        <v>0</v>
      </c>
    </row>
    <row r="18" spans="2:4" ht="16" x14ac:dyDescent="0.4">
      <c r="B18" s="18" t="s">
        <v>39</v>
      </c>
      <c r="C18" s="19"/>
      <c r="D18">
        <f t="shared" si="0"/>
        <v>0</v>
      </c>
    </row>
    <row r="19" spans="2:4" ht="16" x14ac:dyDescent="0.4">
      <c r="B19" s="18" t="s">
        <v>40</v>
      </c>
      <c r="C19" s="19"/>
      <c r="D19">
        <f t="shared" si="0"/>
        <v>0</v>
      </c>
    </row>
    <row r="20" spans="2:4" ht="16" x14ac:dyDescent="0.4">
      <c r="B20" s="18" t="s">
        <v>41</v>
      </c>
      <c r="C20" s="19"/>
      <c r="D20">
        <f t="shared" si="0"/>
        <v>0</v>
      </c>
    </row>
    <row r="21" spans="2:4" ht="16" x14ac:dyDescent="0.4">
      <c r="B21" s="27" t="s">
        <v>42</v>
      </c>
      <c r="C21" s="19"/>
      <c r="D21">
        <f t="shared" si="0"/>
        <v>0</v>
      </c>
    </row>
    <row r="22" spans="2:4" ht="16" x14ac:dyDescent="0.35">
      <c r="B22" s="12" t="s">
        <v>43</v>
      </c>
      <c r="C22" s="13"/>
      <c r="D22"/>
    </row>
    <row r="23" spans="2:4" ht="16" x14ac:dyDescent="0.4">
      <c r="B23" s="28" t="s">
        <v>44</v>
      </c>
      <c r="C23" s="19"/>
      <c r="D23">
        <f>IF(C23="Yes",1,0)</f>
        <v>0</v>
      </c>
    </row>
    <row r="24" spans="2:4" ht="16" x14ac:dyDescent="0.4">
      <c r="B24" s="28" t="s">
        <v>45</v>
      </c>
      <c r="C24" s="19"/>
      <c r="D24">
        <f>IF(C24="Yes",1,0)</f>
        <v>0</v>
      </c>
    </row>
    <row r="25" spans="2:4" ht="16" x14ac:dyDescent="0.4">
      <c r="B25" s="28" t="s">
        <v>46</v>
      </c>
      <c r="C25" s="19"/>
      <c r="D25">
        <f>IF(C25="Yes",1,0)</f>
        <v>0</v>
      </c>
    </row>
    <row r="26" spans="2:4" ht="16" x14ac:dyDescent="0.35">
      <c r="B26" s="12" t="s">
        <v>47</v>
      </c>
      <c r="C26" s="13"/>
      <c r="D26"/>
    </row>
    <row r="27" spans="2:4" ht="16" x14ac:dyDescent="0.4">
      <c r="B27" s="28" t="s">
        <v>48</v>
      </c>
      <c r="C27" s="19"/>
      <c r="D27">
        <f>IF(C27="Yes",1,0)</f>
        <v>0</v>
      </c>
    </row>
    <row r="28" spans="2:4" ht="16" x14ac:dyDescent="0.4">
      <c r="B28" s="28" t="s">
        <v>49</v>
      </c>
      <c r="C28" s="19"/>
      <c r="D28">
        <f>IF(C28="Yes",1,0)</f>
        <v>0</v>
      </c>
    </row>
    <row r="29" spans="2:4" ht="16" x14ac:dyDescent="0.4">
      <c r="B29" s="28" t="s">
        <v>50</v>
      </c>
      <c r="C29" s="19"/>
      <c r="D29">
        <f>IF(C29="Yes",1,0)</f>
        <v>0</v>
      </c>
    </row>
    <row r="30" spans="2:4" ht="16" x14ac:dyDescent="0.4">
      <c r="B30" s="28" t="s">
        <v>51</v>
      </c>
      <c r="C30" s="19"/>
      <c r="D30">
        <f>IF(C30="Yes",1,0)</f>
        <v>0</v>
      </c>
    </row>
    <row r="31" spans="2:4" ht="16" x14ac:dyDescent="0.35">
      <c r="B31" s="12" t="s">
        <v>52</v>
      </c>
      <c r="C31" s="13"/>
      <c r="D31"/>
    </row>
    <row r="32" spans="2:4" ht="16" x14ac:dyDescent="0.4">
      <c r="B32" s="27" t="s">
        <v>53</v>
      </c>
      <c r="C32" s="19"/>
      <c r="D32">
        <f t="shared" ref="D32:D40" si="1">IF(C32="Yes",1,0)</f>
        <v>0</v>
      </c>
    </row>
    <row r="33" spans="2:4" ht="16" x14ac:dyDescent="0.4">
      <c r="B33" s="27" t="s">
        <v>54</v>
      </c>
      <c r="C33" s="19"/>
      <c r="D33">
        <f t="shared" si="1"/>
        <v>0</v>
      </c>
    </row>
    <row r="34" spans="2:4" ht="16" x14ac:dyDescent="0.4">
      <c r="B34" s="29" t="s">
        <v>55</v>
      </c>
      <c r="C34" s="19"/>
      <c r="D34">
        <f t="shared" si="1"/>
        <v>0</v>
      </c>
    </row>
    <row r="35" spans="2:4" ht="16" x14ac:dyDescent="0.4">
      <c r="B35" s="27" t="s">
        <v>56</v>
      </c>
      <c r="C35" s="19"/>
      <c r="D35">
        <f t="shared" si="1"/>
        <v>0</v>
      </c>
    </row>
    <row r="36" spans="2:4" ht="16" x14ac:dyDescent="0.4">
      <c r="B36" s="27" t="s">
        <v>57</v>
      </c>
      <c r="C36" s="19"/>
      <c r="D36">
        <f t="shared" si="1"/>
        <v>0</v>
      </c>
    </row>
    <row r="37" spans="2:4" ht="16" x14ac:dyDescent="0.4">
      <c r="B37" s="27" t="s">
        <v>58</v>
      </c>
      <c r="C37" s="19"/>
      <c r="D37">
        <f t="shared" si="1"/>
        <v>0</v>
      </c>
    </row>
    <row r="38" spans="2:4" ht="16" x14ac:dyDescent="0.4">
      <c r="B38" s="27" t="s">
        <v>59</v>
      </c>
      <c r="C38" s="19"/>
      <c r="D38">
        <f t="shared" si="1"/>
        <v>0</v>
      </c>
    </row>
    <row r="39" spans="2:4" ht="16" x14ac:dyDescent="0.4">
      <c r="B39" s="30" t="s">
        <v>60</v>
      </c>
      <c r="C39" s="19"/>
      <c r="D39">
        <f t="shared" si="1"/>
        <v>0</v>
      </c>
    </row>
    <row r="40" spans="2:4" ht="16" x14ac:dyDescent="0.4">
      <c r="B40" s="30" t="s">
        <v>61</v>
      </c>
      <c r="C40" s="19"/>
      <c r="D40">
        <f t="shared" si="1"/>
        <v>0</v>
      </c>
    </row>
    <row r="41" spans="2:4" ht="16" x14ac:dyDescent="0.35">
      <c r="B41" s="12" t="s">
        <v>62</v>
      </c>
      <c r="C41" s="13"/>
      <c r="D41"/>
    </row>
    <row r="42" spans="2:4" ht="16.5" thickBot="1" x14ac:dyDescent="0.45">
      <c r="B42" s="31" t="s">
        <v>63</v>
      </c>
      <c r="C42" s="32"/>
      <c r="D42">
        <f>IF(C42="Yes",1,0)</f>
        <v>0</v>
      </c>
    </row>
    <row r="43" spans="2:4" ht="16" x14ac:dyDescent="0.4">
      <c r="B43" s="33"/>
      <c r="C43" s="34"/>
      <c r="D43"/>
    </row>
    <row r="44" spans="2:4" x14ac:dyDescent="0.35">
      <c r="B44" s="33"/>
      <c r="C44" s="1"/>
      <c r="D44">
        <f>SUM(D14:D42)/25</f>
        <v>0</v>
      </c>
    </row>
    <row r="45" spans="2:4" ht="15" thickBot="1" x14ac:dyDescent="0.4">
      <c r="B45" s="33"/>
      <c r="C45" s="1"/>
      <c r="D45"/>
    </row>
    <row r="46" spans="2:4" x14ac:dyDescent="0.35">
      <c r="B46" s="35" t="s">
        <v>156</v>
      </c>
      <c r="C46" s="36"/>
      <c r="D46"/>
    </row>
    <row r="47" spans="2:4" ht="18.5" x14ac:dyDescent="0.35">
      <c r="B47" s="45" t="s">
        <v>7</v>
      </c>
      <c r="C47" s="8"/>
      <c r="D47"/>
    </row>
    <row r="48" spans="2:4" ht="16" x14ac:dyDescent="0.35">
      <c r="B48" s="12" t="s">
        <v>157</v>
      </c>
      <c r="C48" s="13"/>
      <c r="D48"/>
    </row>
    <row r="49" spans="2:6" ht="16" x14ac:dyDescent="0.4">
      <c r="B49" s="28" t="s">
        <v>158</v>
      </c>
      <c r="C49" s="19"/>
      <c r="D49">
        <f>IF(C49="Yes",1,0)</f>
        <v>0</v>
      </c>
    </row>
    <row r="50" spans="2:6" ht="16" x14ac:dyDescent="0.4">
      <c r="B50" s="28" t="s">
        <v>159</v>
      </c>
      <c r="C50" s="19"/>
      <c r="D50">
        <f t="shared" ref="D50:D71" si="2">IF(C50="Yes",1,0)</f>
        <v>0</v>
      </c>
    </row>
    <row r="51" spans="2:6" ht="16" x14ac:dyDescent="0.4">
      <c r="B51" s="28" t="s">
        <v>160</v>
      </c>
      <c r="C51" s="19"/>
      <c r="D51">
        <f t="shared" si="2"/>
        <v>0</v>
      </c>
    </row>
    <row r="52" spans="2:6" ht="16" x14ac:dyDescent="0.35">
      <c r="B52" s="12" t="s">
        <v>161</v>
      </c>
      <c r="C52" s="13"/>
      <c r="D52"/>
    </row>
    <row r="53" spans="2:6" ht="16" x14ac:dyDescent="0.4">
      <c r="B53" s="28" t="s">
        <v>162</v>
      </c>
      <c r="C53" s="19"/>
      <c r="D53">
        <f t="shared" si="2"/>
        <v>0</v>
      </c>
    </row>
    <row r="54" spans="2:6" ht="16" x14ac:dyDescent="0.4">
      <c r="B54" s="28" t="s">
        <v>163</v>
      </c>
      <c r="C54" s="19"/>
      <c r="D54">
        <f t="shared" si="2"/>
        <v>0</v>
      </c>
    </row>
    <row r="55" spans="2:6" ht="16" x14ac:dyDescent="0.4">
      <c r="B55" s="28" t="s">
        <v>164</v>
      </c>
      <c r="C55" s="19"/>
      <c r="D55">
        <f t="shared" si="2"/>
        <v>0</v>
      </c>
      <c r="F55" s="38"/>
    </row>
    <row r="56" spans="2:6" ht="16" x14ac:dyDescent="0.4">
      <c r="B56" s="28" t="s">
        <v>165</v>
      </c>
      <c r="C56" s="19"/>
      <c r="D56">
        <f t="shared" si="2"/>
        <v>0</v>
      </c>
      <c r="F56" s="40"/>
    </row>
    <row r="57" spans="2:6" ht="16" x14ac:dyDescent="0.35">
      <c r="B57" s="12" t="s">
        <v>166</v>
      </c>
      <c r="C57" s="13"/>
      <c r="D57"/>
      <c r="F57" s="40"/>
    </row>
    <row r="58" spans="2:6" ht="16" x14ac:dyDescent="0.4">
      <c r="B58" s="28" t="s">
        <v>167</v>
      </c>
      <c r="C58" s="19"/>
      <c r="D58">
        <f t="shared" si="2"/>
        <v>0</v>
      </c>
      <c r="F58" s="40"/>
    </row>
    <row r="59" spans="2:6" ht="16" x14ac:dyDescent="0.4">
      <c r="B59" s="28" t="s">
        <v>168</v>
      </c>
      <c r="C59" s="19"/>
      <c r="D59">
        <f t="shared" si="2"/>
        <v>0</v>
      </c>
      <c r="F59" s="40"/>
    </row>
    <row r="60" spans="2:6" ht="16.5" customHeight="1" x14ac:dyDescent="0.4">
      <c r="B60" s="28" t="s">
        <v>169</v>
      </c>
      <c r="C60" s="19"/>
      <c r="D60">
        <f t="shared" si="2"/>
        <v>0</v>
      </c>
      <c r="E60" s="39"/>
      <c r="F60" s="40"/>
    </row>
    <row r="61" spans="2:6" ht="16" x14ac:dyDescent="0.35">
      <c r="B61" s="12" t="s">
        <v>170</v>
      </c>
      <c r="C61" s="13"/>
      <c r="D61"/>
      <c r="F61" s="40"/>
    </row>
    <row r="62" spans="2:6" ht="16" x14ac:dyDescent="0.4">
      <c r="B62" s="28" t="s">
        <v>171</v>
      </c>
      <c r="C62" s="19"/>
      <c r="D62">
        <f t="shared" si="2"/>
        <v>0</v>
      </c>
      <c r="E62" s="41"/>
      <c r="F62" s="40"/>
    </row>
    <row r="63" spans="2:6" ht="16" x14ac:dyDescent="0.4">
      <c r="B63" s="28" t="s">
        <v>172</v>
      </c>
      <c r="C63" s="19"/>
      <c r="D63">
        <f t="shared" si="2"/>
        <v>0</v>
      </c>
      <c r="E63" s="40"/>
      <c r="F63" s="40"/>
    </row>
    <row r="64" spans="2:6" ht="15" customHeight="1" x14ac:dyDescent="0.4">
      <c r="B64" s="28" t="s">
        <v>173</v>
      </c>
      <c r="C64" s="19"/>
      <c r="D64">
        <f t="shared" si="2"/>
        <v>0</v>
      </c>
      <c r="E64" s="40"/>
      <c r="F64" s="40"/>
    </row>
    <row r="65" spans="2:10" ht="15" customHeight="1" x14ac:dyDescent="0.35">
      <c r="B65" s="12" t="s">
        <v>174</v>
      </c>
      <c r="C65" s="13"/>
      <c r="D65"/>
      <c r="E65" s="40"/>
      <c r="F65" s="40"/>
    </row>
    <row r="66" spans="2:10" ht="15" customHeight="1" x14ac:dyDescent="0.4">
      <c r="B66" s="28" t="s">
        <v>175</v>
      </c>
      <c r="C66" s="19"/>
      <c r="D66">
        <f t="shared" si="2"/>
        <v>0</v>
      </c>
      <c r="E66" s="40"/>
      <c r="F66" s="40"/>
    </row>
    <row r="67" spans="2:10" ht="15" customHeight="1" x14ac:dyDescent="0.4">
      <c r="B67" s="28" t="s">
        <v>176</v>
      </c>
      <c r="C67" s="19"/>
      <c r="D67">
        <f t="shared" si="2"/>
        <v>0</v>
      </c>
      <c r="E67" s="40"/>
    </row>
    <row r="68" spans="2:10" ht="15" customHeight="1" x14ac:dyDescent="0.4">
      <c r="B68" s="28" t="s">
        <v>177</v>
      </c>
      <c r="C68" s="19"/>
      <c r="D68">
        <f t="shared" si="2"/>
        <v>0</v>
      </c>
      <c r="E68" s="40"/>
    </row>
    <row r="69" spans="2:10" ht="15" customHeight="1" x14ac:dyDescent="0.35">
      <c r="B69" s="12" t="s">
        <v>52</v>
      </c>
      <c r="C69" s="13"/>
      <c r="D69"/>
      <c r="E69" s="40"/>
    </row>
    <row r="70" spans="2:10" ht="15" customHeight="1" x14ac:dyDescent="0.4">
      <c r="B70" s="27" t="s">
        <v>85</v>
      </c>
      <c r="C70" s="19"/>
      <c r="D70">
        <f t="shared" si="2"/>
        <v>0</v>
      </c>
      <c r="E70" s="40"/>
    </row>
    <row r="71" spans="2:10" ht="15" customHeight="1" thickBot="1" x14ac:dyDescent="0.45">
      <c r="B71" s="31"/>
      <c r="C71" s="32"/>
      <c r="D71">
        <f t="shared" si="2"/>
        <v>0</v>
      </c>
      <c r="E71" s="40"/>
    </row>
    <row r="72" spans="2:10" ht="16.5" thickBot="1" x14ac:dyDescent="0.45">
      <c r="B72" s="47"/>
      <c r="C72" s="48"/>
      <c r="D72">
        <f>SUM(D49:D71)/18</f>
        <v>0</v>
      </c>
    </row>
    <row r="73" spans="2:10" ht="18.5" x14ac:dyDescent="0.35">
      <c r="B73" s="49" t="s">
        <v>178</v>
      </c>
      <c r="C73" s="50"/>
      <c r="D73"/>
    </row>
    <row r="74" spans="2:10" ht="16" x14ac:dyDescent="0.35">
      <c r="B74" s="12" t="s">
        <v>179</v>
      </c>
      <c r="C74" s="13"/>
      <c r="D74"/>
    </row>
    <row r="75" spans="2:10" ht="16" x14ac:dyDescent="0.4">
      <c r="B75" s="37" t="s">
        <v>180</v>
      </c>
      <c r="C75" s="19"/>
      <c r="D75">
        <f>IF(C75="Yes",1,0)</f>
        <v>0</v>
      </c>
    </row>
    <row r="76" spans="2:10" ht="16" x14ac:dyDescent="0.4">
      <c r="B76" s="37" t="s">
        <v>181</v>
      </c>
      <c r="C76" s="19"/>
      <c r="D76">
        <f t="shared" ref="D76:D84" si="3">IF(C76="Yes",1,0)</f>
        <v>0</v>
      </c>
    </row>
    <row r="77" spans="2:10" ht="16" x14ac:dyDescent="0.4">
      <c r="B77" s="37" t="s">
        <v>182</v>
      </c>
      <c r="C77" s="19"/>
      <c r="D77">
        <f t="shared" si="3"/>
        <v>0</v>
      </c>
      <c r="E77" s="43"/>
    </row>
    <row r="78" spans="2:10" ht="16" x14ac:dyDescent="0.4">
      <c r="B78" s="37" t="s">
        <v>183</v>
      </c>
      <c r="C78" s="19"/>
      <c r="D78">
        <f t="shared" si="3"/>
        <v>0</v>
      </c>
    </row>
    <row r="79" spans="2:10" ht="16" x14ac:dyDescent="0.4">
      <c r="B79" s="37" t="s">
        <v>184</v>
      </c>
      <c r="C79" s="19"/>
      <c r="D79">
        <f t="shared" si="3"/>
        <v>0</v>
      </c>
      <c r="F79" s="44"/>
      <c r="G79" s="44"/>
      <c r="H79" s="44"/>
      <c r="I79" s="44"/>
      <c r="J79" s="44"/>
    </row>
    <row r="80" spans="2:10" ht="16" x14ac:dyDescent="0.4">
      <c r="B80" s="37" t="s">
        <v>185</v>
      </c>
      <c r="C80" s="19"/>
      <c r="D80">
        <f t="shared" si="3"/>
        <v>0</v>
      </c>
    </row>
    <row r="81" spans="1:10" ht="16" x14ac:dyDescent="0.4">
      <c r="B81" s="37" t="s">
        <v>186</v>
      </c>
      <c r="C81" s="19"/>
      <c r="D81">
        <f t="shared" si="3"/>
        <v>0</v>
      </c>
    </row>
    <row r="82" spans="1:10" ht="16" x14ac:dyDescent="0.4">
      <c r="B82" s="37" t="s">
        <v>187</v>
      </c>
      <c r="C82" s="19"/>
      <c r="D82">
        <f t="shared" si="3"/>
        <v>0</v>
      </c>
    </row>
    <row r="83" spans="1:10" ht="16" x14ac:dyDescent="0.35">
      <c r="B83" s="12" t="s">
        <v>52</v>
      </c>
      <c r="C83" s="13"/>
      <c r="D83"/>
    </row>
    <row r="84" spans="1:10" s="44" customFormat="1" ht="16.5" thickBot="1" x14ac:dyDescent="0.45">
      <c r="A84"/>
      <c r="B84" s="51" t="s">
        <v>85</v>
      </c>
      <c r="C84" s="32"/>
      <c r="D84">
        <f t="shared" si="3"/>
        <v>0</v>
      </c>
      <c r="F84"/>
      <c r="G84"/>
      <c r="H84"/>
      <c r="I84"/>
      <c r="J84"/>
    </row>
    <row r="85" spans="1:10" x14ac:dyDescent="0.35">
      <c r="D85">
        <f>SUM(D75:D84)/9</f>
        <v>0</v>
      </c>
    </row>
    <row r="86" spans="1:10" x14ac:dyDescent="0.35">
      <c r="D86"/>
    </row>
    <row r="87" spans="1:10" x14ac:dyDescent="0.35">
      <c r="D87"/>
    </row>
    <row r="88" spans="1:10" x14ac:dyDescent="0.35">
      <c r="D88"/>
    </row>
    <row r="89" spans="1:10" x14ac:dyDescent="0.35">
      <c r="D89"/>
    </row>
    <row r="90" spans="1:10" x14ac:dyDescent="0.35">
      <c r="D90"/>
    </row>
    <row r="91" spans="1:10" x14ac:dyDescent="0.35">
      <c r="D91"/>
    </row>
    <row r="92" spans="1:10" x14ac:dyDescent="0.35">
      <c r="D92"/>
    </row>
    <row r="93" spans="1:10" x14ac:dyDescent="0.35">
      <c r="D93"/>
    </row>
    <row r="94" spans="1:10" x14ac:dyDescent="0.35">
      <c r="D94"/>
    </row>
    <row r="95" spans="1:10" x14ac:dyDescent="0.35">
      <c r="D95"/>
    </row>
    <row r="96" spans="1:10" x14ac:dyDescent="0.35">
      <c r="D96"/>
    </row>
    <row r="97" spans="4:4" x14ac:dyDescent="0.35">
      <c r="D97"/>
    </row>
    <row r="98" spans="4:4" x14ac:dyDescent="0.35">
      <c r="D98"/>
    </row>
    <row r="99" spans="4:4" x14ac:dyDescent="0.35">
      <c r="D99"/>
    </row>
    <row r="100" spans="4:4" x14ac:dyDescent="0.35">
      <c r="D100"/>
    </row>
    <row r="101" spans="4:4" x14ac:dyDescent="0.35">
      <c r="D101"/>
    </row>
    <row r="102" spans="4:4" x14ac:dyDescent="0.35">
      <c r="D102"/>
    </row>
    <row r="103" spans="4:4" x14ac:dyDescent="0.35">
      <c r="D103"/>
    </row>
    <row r="104" spans="4:4" x14ac:dyDescent="0.35">
      <c r="D104"/>
    </row>
    <row r="105" spans="4:4" x14ac:dyDescent="0.35">
      <c r="D105"/>
    </row>
    <row r="106" spans="4:4" x14ac:dyDescent="0.35">
      <c r="D106"/>
    </row>
    <row r="107" spans="4:4" x14ac:dyDescent="0.35">
      <c r="D107"/>
    </row>
    <row r="108" spans="4:4" x14ac:dyDescent="0.35">
      <c r="D108"/>
    </row>
    <row r="109" spans="4:4" x14ac:dyDescent="0.35">
      <c r="D109"/>
    </row>
    <row r="110" spans="4:4" x14ac:dyDescent="0.35">
      <c r="D110"/>
    </row>
    <row r="111" spans="4:4" x14ac:dyDescent="0.35">
      <c r="D111"/>
    </row>
    <row r="112" spans="4:4" x14ac:dyDescent="0.35">
      <c r="D112"/>
    </row>
    <row r="113" spans="4:4" x14ac:dyDescent="0.35">
      <c r="D113"/>
    </row>
    <row r="114" spans="4:4" x14ac:dyDescent="0.35">
      <c r="D114"/>
    </row>
    <row r="115" spans="4:4" x14ac:dyDescent="0.35">
      <c r="D115"/>
    </row>
    <row r="116" spans="4:4" x14ac:dyDescent="0.35">
      <c r="D116"/>
    </row>
    <row r="117" spans="4:4" x14ac:dyDescent="0.35">
      <c r="D117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  <row r="124" spans="4:4" x14ac:dyDescent="0.35">
      <c r="D124"/>
    </row>
    <row r="125" spans="4:4" x14ac:dyDescent="0.35">
      <c r="D125"/>
    </row>
    <row r="126" spans="4:4" x14ac:dyDescent="0.35">
      <c r="D126"/>
    </row>
    <row r="127" spans="4:4" x14ac:dyDescent="0.35">
      <c r="D127"/>
    </row>
    <row r="128" spans="4:4" x14ac:dyDescent="0.35">
      <c r="D128"/>
    </row>
    <row r="129" spans="4:4" x14ac:dyDescent="0.35">
      <c r="D129"/>
    </row>
    <row r="130" spans="4:4" x14ac:dyDescent="0.35">
      <c r="D130"/>
    </row>
    <row r="131" spans="4:4" x14ac:dyDescent="0.35">
      <c r="D131"/>
    </row>
    <row r="132" spans="4:4" x14ac:dyDescent="0.35">
      <c r="D132"/>
    </row>
    <row r="133" spans="4:4" x14ac:dyDescent="0.35">
      <c r="D133"/>
    </row>
    <row r="134" spans="4:4" x14ac:dyDescent="0.35">
      <c r="D134"/>
    </row>
    <row r="135" spans="4:4" x14ac:dyDescent="0.35">
      <c r="D135"/>
    </row>
    <row r="136" spans="4:4" x14ac:dyDescent="0.35">
      <c r="D136"/>
    </row>
    <row r="137" spans="4:4" x14ac:dyDescent="0.35">
      <c r="D137"/>
    </row>
    <row r="138" spans="4:4" x14ac:dyDescent="0.35">
      <c r="D138"/>
    </row>
    <row r="139" spans="4:4" x14ac:dyDescent="0.35">
      <c r="D139"/>
    </row>
    <row r="140" spans="4:4" x14ac:dyDescent="0.35">
      <c r="D140"/>
    </row>
    <row r="141" spans="4:4" x14ac:dyDescent="0.35">
      <c r="D141"/>
    </row>
    <row r="142" spans="4:4" x14ac:dyDescent="0.35">
      <c r="D142"/>
    </row>
    <row r="143" spans="4:4" x14ac:dyDescent="0.35">
      <c r="D143"/>
    </row>
    <row r="144" spans="4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  <row r="148" spans="4:4" x14ac:dyDescent="0.35">
      <c r="D148"/>
    </row>
    <row r="149" spans="4:4" x14ac:dyDescent="0.35">
      <c r="D149"/>
    </row>
    <row r="150" spans="4:4" x14ac:dyDescent="0.35">
      <c r="D150"/>
    </row>
    <row r="151" spans="4:4" x14ac:dyDescent="0.35">
      <c r="D151"/>
    </row>
    <row r="152" spans="4:4" x14ac:dyDescent="0.35">
      <c r="D152"/>
    </row>
    <row r="153" spans="4:4" x14ac:dyDescent="0.35">
      <c r="D153"/>
    </row>
    <row r="154" spans="4:4" x14ac:dyDescent="0.35">
      <c r="D154"/>
    </row>
    <row r="155" spans="4:4" x14ac:dyDescent="0.35">
      <c r="D155"/>
    </row>
    <row r="156" spans="4:4" x14ac:dyDescent="0.35">
      <c r="D156"/>
    </row>
    <row r="157" spans="4:4" x14ac:dyDescent="0.35">
      <c r="D157"/>
    </row>
    <row r="158" spans="4:4" x14ac:dyDescent="0.35">
      <c r="D158"/>
    </row>
    <row r="159" spans="4:4" x14ac:dyDescent="0.35">
      <c r="D159"/>
    </row>
    <row r="160" spans="4:4" x14ac:dyDescent="0.35">
      <c r="D160"/>
    </row>
    <row r="161" spans="4:4" x14ac:dyDescent="0.35">
      <c r="D161"/>
    </row>
    <row r="162" spans="4:4" x14ac:dyDescent="0.35">
      <c r="D162"/>
    </row>
    <row r="163" spans="4:4" x14ac:dyDescent="0.35">
      <c r="D163"/>
    </row>
    <row r="164" spans="4:4" x14ac:dyDescent="0.35">
      <c r="D164"/>
    </row>
    <row r="165" spans="4:4" x14ac:dyDescent="0.35">
      <c r="D165"/>
    </row>
    <row r="166" spans="4:4" x14ac:dyDescent="0.35">
      <c r="D166"/>
    </row>
    <row r="167" spans="4:4" x14ac:dyDescent="0.35">
      <c r="D167"/>
    </row>
    <row r="168" spans="4:4" x14ac:dyDescent="0.35">
      <c r="D168"/>
    </row>
    <row r="169" spans="4:4" x14ac:dyDescent="0.35">
      <c r="D169"/>
    </row>
    <row r="170" spans="4:4" x14ac:dyDescent="0.35">
      <c r="D170"/>
    </row>
    <row r="171" spans="4:4" x14ac:dyDescent="0.35">
      <c r="D171"/>
    </row>
    <row r="172" spans="4:4" x14ac:dyDescent="0.35">
      <c r="D172"/>
    </row>
    <row r="173" spans="4:4" x14ac:dyDescent="0.35">
      <c r="D173"/>
    </row>
    <row r="174" spans="4:4" x14ac:dyDescent="0.35">
      <c r="D174"/>
    </row>
    <row r="175" spans="4:4" x14ac:dyDescent="0.35">
      <c r="D175"/>
    </row>
    <row r="176" spans="4:4" x14ac:dyDescent="0.35">
      <c r="D176"/>
    </row>
    <row r="177" spans="4:4" x14ac:dyDescent="0.35">
      <c r="D177"/>
    </row>
    <row r="178" spans="4:4" x14ac:dyDescent="0.35">
      <c r="D178"/>
    </row>
    <row r="179" spans="4:4" x14ac:dyDescent="0.35">
      <c r="D179"/>
    </row>
    <row r="180" spans="4:4" x14ac:dyDescent="0.35">
      <c r="D180"/>
    </row>
    <row r="181" spans="4:4" x14ac:dyDescent="0.35">
      <c r="D181"/>
    </row>
    <row r="182" spans="4:4" x14ac:dyDescent="0.35">
      <c r="D182"/>
    </row>
    <row r="183" spans="4:4" x14ac:dyDescent="0.35">
      <c r="D183"/>
    </row>
    <row r="184" spans="4:4" x14ac:dyDescent="0.35">
      <c r="D184"/>
    </row>
    <row r="185" spans="4:4" x14ac:dyDescent="0.35">
      <c r="D185"/>
    </row>
    <row r="186" spans="4:4" x14ac:dyDescent="0.35">
      <c r="D186"/>
    </row>
    <row r="187" spans="4:4" x14ac:dyDescent="0.35">
      <c r="D187"/>
    </row>
    <row r="188" spans="4:4" x14ac:dyDescent="0.35">
      <c r="D188"/>
    </row>
    <row r="189" spans="4:4" x14ac:dyDescent="0.35">
      <c r="D189"/>
    </row>
    <row r="190" spans="4:4" x14ac:dyDescent="0.35">
      <c r="D190"/>
    </row>
    <row r="191" spans="4:4" x14ac:dyDescent="0.35">
      <c r="D191"/>
    </row>
    <row r="192" spans="4:4" x14ac:dyDescent="0.35">
      <c r="D192"/>
    </row>
    <row r="193" spans="4:4" x14ac:dyDescent="0.35">
      <c r="D193"/>
    </row>
    <row r="194" spans="4:4" x14ac:dyDescent="0.35">
      <c r="D194"/>
    </row>
  </sheetData>
  <sheetProtection sheet="1" objects="1" scenarios="1" selectLockedCells="1"/>
  <mergeCells count="1">
    <mergeCell ref="B10:C10"/>
  </mergeCells>
  <dataValidations count="1">
    <dataValidation type="list" allowBlank="1" showInputMessage="1" showErrorMessage="1" sqref="C66:C68 C14:C21 C23:C25 C27:C30 C42:C43 C49:C51 C53:C56 C58:C60 C62:C64 C75:C82 C70:C72 C84 C32:C40" xr:uid="{C391B210-96D0-43D7-BE23-284218C1F2FE}">
      <formula1>"Yes, No"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5BCA-A3B3-4251-91F0-6E30A0959124}">
  <dimension ref="A1:J194"/>
  <sheetViews>
    <sheetView workbookViewId="0">
      <selection activeCell="C14" sqref="C14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203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15" thickBot="1" x14ac:dyDescent="0.4">
      <c r="B10" s="105"/>
      <c r="C10" s="106"/>
      <c r="D10"/>
    </row>
    <row r="11" spans="1:10" ht="15" thickBot="1" x14ac:dyDescent="0.4">
      <c r="B11" s="54" t="s">
        <v>31</v>
      </c>
      <c r="C11" s="55"/>
      <c r="D11"/>
    </row>
    <row r="12" spans="1:10" ht="19" thickBot="1" x14ac:dyDescent="0.4">
      <c r="B12" s="52" t="s">
        <v>2</v>
      </c>
      <c r="C12" s="53" t="s">
        <v>32</v>
      </c>
      <c r="D12"/>
      <c r="G12" s="9" t="s">
        <v>16</v>
      </c>
      <c r="H12" s="10" t="s">
        <v>17</v>
      </c>
      <c r="I12" s="10" t="s">
        <v>18</v>
      </c>
      <c r="J12" s="11" t="s">
        <v>19</v>
      </c>
    </row>
    <row r="13" spans="1:10" ht="18.5" x14ac:dyDescent="0.35">
      <c r="B13" s="12" t="s">
        <v>33</v>
      </c>
      <c r="C13" s="13"/>
      <c r="D13"/>
      <c r="F13" s="14" t="s">
        <v>2</v>
      </c>
      <c r="G13" s="15">
        <f>D44</f>
        <v>0</v>
      </c>
      <c r="H13" s="16">
        <v>0.8</v>
      </c>
      <c r="I13" s="16">
        <v>0.6</v>
      </c>
      <c r="J13" s="17">
        <v>1</v>
      </c>
    </row>
    <row r="14" spans="1:10" ht="18.5" x14ac:dyDescent="0.4">
      <c r="B14" s="18" t="s">
        <v>34</v>
      </c>
      <c r="C14" s="19"/>
      <c r="D14">
        <f>IF(C14="Yes",1,0)</f>
        <v>0</v>
      </c>
      <c r="F14" s="24" t="s">
        <v>7</v>
      </c>
      <c r="G14" s="21">
        <f>D72</f>
        <v>0</v>
      </c>
      <c r="H14" s="22">
        <v>0.8</v>
      </c>
      <c r="I14" s="22">
        <v>0.6</v>
      </c>
      <c r="J14" s="23">
        <v>1</v>
      </c>
    </row>
    <row r="15" spans="1:10" ht="19" thickBot="1" x14ac:dyDescent="0.45">
      <c r="B15" s="18" t="s">
        <v>36</v>
      </c>
      <c r="C15" s="19"/>
      <c r="D15">
        <f>IF(C15="Yes",1,0)</f>
        <v>0</v>
      </c>
      <c r="F15" s="25" t="s">
        <v>14</v>
      </c>
      <c r="G15" s="26">
        <f>D85</f>
        <v>0</v>
      </c>
      <c r="H15" s="22">
        <v>0.8</v>
      </c>
      <c r="I15" s="22">
        <v>0.6</v>
      </c>
      <c r="J15" s="23">
        <v>1</v>
      </c>
    </row>
    <row r="16" spans="1:10" ht="19" thickBot="1" x14ac:dyDescent="0.45">
      <c r="B16" s="18" t="s">
        <v>37</v>
      </c>
      <c r="C16" s="19"/>
      <c r="D16">
        <f t="shared" ref="D16:D21" si="0">IF(C16="Yes",1,0)</f>
        <v>0</v>
      </c>
      <c r="F16" s="25" t="s">
        <v>15</v>
      </c>
      <c r="G16" s="26">
        <f>AVERAGE(G13:G15)</f>
        <v>0</v>
      </c>
      <c r="H16" s="91">
        <v>0.8</v>
      </c>
      <c r="I16" s="91">
        <v>0.6</v>
      </c>
      <c r="J16" s="92">
        <v>1</v>
      </c>
    </row>
    <row r="17" spans="2:4" ht="16" x14ac:dyDescent="0.4">
      <c r="B17" s="18" t="s">
        <v>38</v>
      </c>
      <c r="C17" s="19"/>
      <c r="D17">
        <f t="shared" si="0"/>
        <v>0</v>
      </c>
    </row>
    <row r="18" spans="2:4" ht="16" x14ac:dyDescent="0.4">
      <c r="B18" s="18" t="s">
        <v>39</v>
      </c>
      <c r="C18" s="19"/>
      <c r="D18">
        <f t="shared" si="0"/>
        <v>0</v>
      </c>
    </row>
    <row r="19" spans="2:4" ht="16" x14ac:dyDescent="0.4">
      <c r="B19" s="18" t="s">
        <v>40</v>
      </c>
      <c r="C19" s="19"/>
      <c r="D19">
        <f t="shared" si="0"/>
        <v>0</v>
      </c>
    </row>
    <row r="20" spans="2:4" ht="16" x14ac:dyDescent="0.4">
      <c r="B20" s="18" t="s">
        <v>41</v>
      </c>
      <c r="C20" s="19"/>
      <c r="D20">
        <f t="shared" si="0"/>
        <v>0</v>
      </c>
    </row>
    <row r="21" spans="2:4" ht="16" x14ac:dyDescent="0.4">
      <c r="B21" s="27" t="s">
        <v>42</v>
      </c>
      <c r="C21" s="19"/>
      <c r="D21">
        <f t="shared" si="0"/>
        <v>0</v>
      </c>
    </row>
    <row r="22" spans="2:4" ht="16" x14ac:dyDescent="0.35">
      <c r="B22" s="12" t="s">
        <v>43</v>
      </c>
      <c r="C22" s="13"/>
      <c r="D22"/>
    </row>
    <row r="23" spans="2:4" ht="16" x14ac:dyDescent="0.4">
      <c r="B23" s="28" t="s">
        <v>44</v>
      </c>
      <c r="C23" s="19"/>
      <c r="D23">
        <f>IF(C23="Yes",1,0)</f>
        <v>0</v>
      </c>
    </row>
    <row r="24" spans="2:4" ht="16" x14ac:dyDescent="0.4">
      <c r="B24" s="28" t="s">
        <v>45</v>
      </c>
      <c r="C24" s="19"/>
      <c r="D24">
        <f>IF(C24="Yes",1,0)</f>
        <v>0</v>
      </c>
    </row>
    <row r="25" spans="2:4" ht="16" x14ac:dyDescent="0.4">
      <c r="B25" s="28" t="s">
        <v>46</v>
      </c>
      <c r="C25" s="19"/>
      <c r="D25">
        <f>IF(C25="Yes",1,0)</f>
        <v>0</v>
      </c>
    </row>
    <row r="26" spans="2:4" ht="16" x14ac:dyDescent="0.35">
      <c r="B26" s="12" t="s">
        <v>47</v>
      </c>
      <c r="C26" s="13"/>
      <c r="D26"/>
    </row>
    <row r="27" spans="2:4" ht="16" x14ac:dyDescent="0.4">
      <c r="B27" s="28" t="s">
        <v>48</v>
      </c>
      <c r="C27" s="19"/>
      <c r="D27">
        <f>IF(C27="Yes",1,0)</f>
        <v>0</v>
      </c>
    </row>
    <row r="28" spans="2:4" ht="16" x14ac:dyDescent="0.4">
      <c r="B28" s="28" t="s">
        <v>49</v>
      </c>
      <c r="C28" s="19"/>
      <c r="D28">
        <f>IF(C28="Yes",1,0)</f>
        <v>0</v>
      </c>
    </row>
    <row r="29" spans="2:4" ht="16" x14ac:dyDescent="0.4">
      <c r="B29" s="28" t="s">
        <v>50</v>
      </c>
      <c r="C29" s="19"/>
      <c r="D29">
        <f>IF(C29="Yes",1,0)</f>
        <v>0</v>
      </c>
    </row>
    <row r="30" spans="2:4" ht="16" x14ac:dyDescent="0.4">
      <c r="B30" s="28" t="s">
        <v>51</v>
      </c>
      <c r="C30" s="19"/>
      <c r="D30">
        <f>IF(C30="Yes",1,0)</f>
        <v>0</v>
      </c>
    </row>
    <row r="31" spans="2:4" ht="16" x14ac:dyDescent="0.35">
      <c r="B31" s="12" t="s">
        <v>52</v>
      </c>
      <c r="C31" s="13"/>
      <c r="D31"/>
    </row>
    <row r="32" spans="2:4" ht="16" x14ac:dyDescent="0.4">
      <c r="B32" s="27" t="s">
        <v>53</v>
      </c>
      <c r="C32" s="19"/>
      <c r="D32">
        <f t="shared" ref="D32:D40" si="1">IF(C32="Yes",1,0)</f>
        <v>0</v>
      </c>
    </row>
    <row r="33" spans="2:4" ht="16" x14ac:dyDescent="0.4">
      <c r="B33" s="27" t="s">
        <v>54</v>
      </c>
      <c r="C33" s="19"/>
      <c r="D33">
        <f t="shared" si="1"/>
        <v>0</v>
      </c>
    </row>
    <row r="34" spans="2:4" ht="16" x14ac:dyDescent="0.4">
      <c r="B34" s="29" t="s">
        <v>55</v>
      </c>
      <c r="C34" s="19"/>
      <c r="D34">
        <f t="shared" si="1"/>
        <v>0</v>
      </c>
    </row>
    <row r="35" spans="2:4" ht="16" x14ac:dyDescent="0.4">
      <c r="B35" s="27" t="s">
        <v>56</v>
      </c>
      <c r="C35" s="19"/>
      <c r="D35">
        <f t="shared" si="1"/>
        <v>0</v>
      </c>
    </row>
    <row r="36" spans="2:4" ht="16" x14ac:dyDescent="0.4">
      <c r="B36" s="27" t="s">
        <v>57</v>
      </c>
      <c r="C36" s="19"/>
      <c r="D36">
        <f t="shared" si="1"/>
        <v>0</v>
      </c>
    </row>
    <row r="37" spans="2:4" ht="16" x14ac:dyDescent="0.4">
      <c r="B37" s="27" t="s">
        <v>58</v>
      </c>
      <c r="C37" s="19"/>
      <c r="D37">
        <f t="shared" si="1"/>
        <v>0</v>
      </c>
    </row>
    <row r="38" spans="2:4" ht="16" x14ac:dyDescent="0.4">
      <c r="B38" s="27" t="s">
        <v>59</v>
      </c>
      <c r="C38" s="19"/>
      <c r="D38">
        <f t="shared" si="1"/>
        <v>0</v>
      </c>
    </row>
    <row r="39" spans="2:4" ht="16" x14ac:dyDescent="0.4">
      <c r="B39" s="30" t="s">
        <v>60</v>
      </c>
      <c r="C39" s="19"/>
      <c r="D39">
        <f t="shared" si="1"/>
        <v>0</v>
      </c>
    </row>
    <row r="40" spans="2:4" ht="16" x14ac:dyDescent="0.4">
      <c r="B40" s="30" t="s">
        <v>61</v>
      </c>
      <c r="C40" s="19"/>
      <c r="D40">
        <f t="shared" si="1"/>
        <v>0</v>
      </c>
    </row>
    <row r="41" spans="2:4" ht="16" x14ac:dyDescent="0.35">
      <c r="B41" s="12" t="s">
        <v>62</v>
      </c>
      <c r="C41" s="13"/>
      <c r="D41"/>
    </row>
    <row r="42" spans="2:4" ht="16.5" thickBot="1" x14ac:dyDescent="0.45">
      <c r="B42" s="31" t="s">
        <v>63</v>
      </c>
      <c r="C42" s="32"/>
      <c r="D42">
        <f>IF(C42="Yes",1,0)</f>
        <v>0</v>
      </c>
    </row>
    <row r="43" spans="2:4" ht="16" x14ac:dyDescent="0.4">
      <c r="B43" s="33"/>
      <c r="C43" s="34"/>
      <c r="D43"/>
    </row>
    <row r="44" spans="2:4" x14ac:dyDescent="0.35">
      <c r="B44" s="33"/>
      <c r="C44" s="1"/>
      <c r="D44">
        <f>SUM(D14:D42)/25</f>
        <v>0</v>
      </c>
    </row>
    <row r="45" spans="2:4" ht="15" thickBot="1" x14ac:dyDescent="0.4">
      <c r="B45" s="33"/>
      <c r="C45" s="1"/>
      <c r="D45"/>
    </row>
    <row r="46" spans="2:4" x14ac:dyDescent="0.35">
      <c r="B46" s="35" t="s">
        <v>156</v>
      </c>
      <c r="C46" s="36"/>
      <c r="D46"/>
    </row>
    <row r="47" spans="2:4" ht="18.5" x14ac:dyDescent="0.35">
      <c r="B47" s="45" t="s">
        <v>7</v>
      </c>
      <c r="C47" s="8"/>
      <c r="D47"/>
    </row>
    <row r="48" spans="2:4" ht="16" x14ac:dyDescent="0.35">
      <c r="B48" s="12" t="s">
        <v>157</v>
      </c>
      <c r="C48" s="13"/>
      <c r="D48"/>
    </row>
    <row r="49" spans="2:6" ht="16" x14ac:dyDescent="0.4">
      <c r="B49" s="28" t="s">
        <v>158</v>
      </c>
      <c r="C49" s="19"/>
      <c r="D49">
        <f>IF(C49="Yes",1,0)</f>
        <v>0</v>
      </c>
    </row>
    <row r="50" spans="2:6" ht="16" x14ac:dyDescent="0.4">
      <c r="B50" s="28" t="s">
        <v>159</v>
      </c>
      <c r="C50" s="19"/>
      <c r="D50">
        <f t="shared" ref="D50:D71" si="2">IF(C50="Yes",1,0)</f>
        <v>0</v>
      </c>
    </row>
    <row r="51" spans="2:6" ht="16" x14ac:dyDescent="0.4">
      <c r="B51" s="28" t="s">
        <v>160</v>
      </c>
      <c r="C51" s="19"/>
      <c r="D51">
        <f t="shared" si="2"/>
        <v>0</v>
      </c>
    </row>
    <row r="52" spans="2:6" ht="16" x14ac:dyDescent="0.35">
      <c r="B52" s="12" t="s">
        <v>161</v>
      </c>
      <c r="C52" s="13"/>
      <c r="D52"/>
    </row>
    <row r="53" spans="2:6" ht="16" x14ac:dyDescent="0.4">
      <c r="B53" s="28" t="s">
        <v>162</v>
      </c>
      <c r="C53" s="19"/>
      <c r="D53">
        <f t="shared" si="2"/>
        <v>0</v>
      </c>
    </row>
    <row r="54" spans="2:6" ht="16" x14ac:dyDescent="0.4">
      <c r="B54" s="28" t="s">
        <v>163</v>
      </c>
      <c r="C54" s="19"/>
      <c r="D54">
        <f t="shared" si="2"/>
        <v>0</v>
      </c>
    </row>
    <row r="55" spans="2:6" ht="16" x14ac:dyDescent="0.4">
      <c r="B55" s="28" t="s">
        <v>164</v>
      </c>
      <c r="C55" s="19"/>
      <c r="D55">
        <f t="shared" si="2"/>
        <v>0</v>
      </c>
      <c r="F55" s="38"/>
    </row>
    <row r="56" spans="2:6" ht="16" x14ac:dyDescent="0.4">
      <c r="B56" s="28" t="s">
        <v>165</v>
      </c>
      <c r="C56" s="19"/>
      <c r="D56">
        <f t="shared" si="2"/>
        <v>0</v>
      </c>
      <c r="F56" s="40"/>
    </row>
    <row r="57" spans="2:6" ht="16" x14ac:dyDescent="0.35">
      <c r="B57" s="12" t="s">
        <v>166</v>
      </c>
      <c r="C57" s="13"/>
      <c r="D57"/>
      <c r="F57" s="40"/>
    </row>
    <row r="58" spans="2:6" ht="16" x14ac:dyDescent="0.4">
      <c r="B58" s="28" t="s">
        <v>167</v>
      </c>
      <c r="C58" s="19"/>
      <c r="D58">
        <f t="shared" si="2"/>
        <v>0</v>
      </c>
      <c r="F58" s="40"/>
    </row>
    <row r="59" spans="2:6" ht="16" x14ac:dyDescent="0.4">
      <c r="B59" s="28" t="s">
        <v>168</v>
      </c>
      <c r="C59" s="19"/>
      <c r="D59">
        <f t="shared" si="2"/>
        <v>0</v>
      </c>
      <c r="F59" s="40"/>
    </row>
    <row r="60" spans="2:6" ht="16.5" customHeight="1" x14ac:dyDescent="0.4">
      <c r="B60" s="28" t="s">
        <v>169</v>
      </c>
      <c r="C60" s="19"/>
      <c r="D60">
        <f t="shared" si="2"/>
        <v>0</v>
      </c>
      <c r="E60" s="39"/>
      <c r="F60" s="40"/>
    </row>
    <row r="61" spans="2:6" ht="16" x14ac:dyDescent="0.35">
      <c r="B61" s="12" t="s">
        <v>170</v>
      </c>
      <c r="C61" s="13"/>
      <c r="D61"/>
      <c r="F61" s="40"/>
    </row>
    <row r="62" spans="2:6" ht="16" x14ac:dyDescent="0.4">
      <c r="B62" s="28" t="s">
        <v>171</v>
      </c>
      <c r="C62" s="19"/>
      <c r="D62">
        <f t="shared" si="2"/>
        <v>0</v>
      </c>
      <c r="E62" s="41"/>
      <c r="F62" s="40"/>
    </row>
    <row r="63" spans="2:6" ht="16" x14ac:dyDescent="0.4">
      <c r="B63" s="28" t="s">
        <v>172</v>
      </c>
      <c r="C63" s="19"/>
      <c r="D63">
        <f t="shared" si="2"/>
        <v>0</v>
      </c>
      <c r="E63" s="40"/>
      <c r="F63" s="40"/>
    </row>
    <row r="64" spans="2:6" ht="15" customHeight="1" x14ac:dyDescent="0.4">
      <c r="B64" s="28" t="s">
        <v>173</v>
      </c>
      <c r="C64" s="19"/>
      <c r="D64">
        <f t="shared" si="2"/>
        <v>0</v>
      </c>
      <c r="E64" s="40"/>
      <c r="F64" s="40"/>
    </row>
    <row r="65" spans="2:10" ht="15" customHeight="1" x14ac:dyDescent="0.35">
      <c r="B65" s="12" t="s">
        <v>174</v>
      </c>
      <c r="C65" s="13"/>
      <c r="D65"/>
      <c r="E65" s="40"/>
      <c r="F65" s="40"/>
    </row>
    <row r="66" spans="2:10" ht="15" customHeight="1" x14ac:dyDescent="0.4">
      <c r="B66" s="28" t="s">
        <v>175</v>
      </c>
      <c r="C66" s="19"/>
      <c r="D66">
        <f t="shared" si="2"/>
        <v>0</v>
      </c>
      <c r="E66" s="40"/>
      <c r="F66" s="40"/>
    </row>
    <row r="67" spans="2:10" ht="15" customHeight="1" x14ac:dyDescent="0.4">
      <c r="B67" s="28" t="s">
        <v>176</v>
      </c>
      <c r="C67" s="19"/>
      <c r="D67">
        <f t="shared" si="2"/>
        <v>0</v>
      </c>
      <c r="E67" s="40"/>
    </row>
    <row r="68" spans="2:10" ht="15" customHeight="1" x14ac:dyDescent="0.4">
      <c r="B68" s="28" t="s">
        <v>177</v>
      </c>
      <c r="C68" s="19"/>
      <c r="D68">
        <f t="shared" si="2"/>
        <v>0</v>
      </c>
      <c r="E68" s="40"/>
    </row>
    <row r="69" spans="2:10" ht="15" customHeight="1" x14ac:dyDescent="0.35">
      <c r="B69" s="12" t="s">
        <v>52</v>
      </c>
      <c r="C69" s="13"/>
      <c r="D69"/>
      <c r="E69" s="40"/>
    </row>
    <row r="70" spans="2:10" ht="15" customHeight="1" x14ac:dyDescent="0.4">
      <c r="B70" s="27" t="s">
        <v>85</v>
      </c>
      <c r="C70" s="19"/>
      <c r="D70">
        <f t="shared" si="2"/>
        <v>0</v>
      </c>
      <c r="E70" s="40"/>
    </row>
    <row r="71" spans="2:10" ht="15" customHeight="1" thickBot="1" x14ac:dyDescent="0.45">
      <c r="B71" s="31"/>
      <c r="C71" s="32"/>
      <c r="D71">
        <f t="shared" si="2"/>
        <v>0</v>
      </c>
      <c r="E71" s="40"/>
    </row>
    <row r="72" spans="2:10" ht="16.5" thickBot="1" x14ac:dyDescent="0.45">
      <c r="B72" s="47"/>
      <c r="C72" s="48"/>
      <c r="D72">
        <f>SUM(D49:D71)/18</f>
        <v>0</v>
      </c>
    </row>
    <row r="73" spans="2:10" ht="18.5" x14ac:dyDescent="0.35">
      <c r="B73" s="49" t="s">
        <v>178</v>
      </c>
      <c r="C73" s="50"/>
      <c r="D73"/>
    </row>
    <row r="74" spans="2:10" ht="16" x14ac:dyDescent="0.35">
      <c r="B74" s="12" t="s">
        <v>179</v>
      </c>
      <c r="C74" s="13"/>
      <c r="D74"/>
    </row>
    <row r="75" spans="2:10" ht="16" x14ac:dyDescent="0.4">
      <c r="B75" s="37" t="s">
        <v>180</v>
      </c>
      <c r="C75" s="19"/>
      <c r="D75">
        <f>IF(C75="Yes",1,0)</f>
        <v>0</v>
      </c>
    </row>
    <row r="76" spans="2:10" ht="16" x14ac:dyDescent="0.4">
      <c r="B76" s="37" t="s">
        <v>181</v>
      </c>
      <c r="C76" s="19"/>
      <c r="D76">
        <f t="shared" ref="D76:D84" si="3">IF(C76="Yes",1,0)</f>
        <v>0</v>
      </c>
    </row>
    <row r="77" spans="2:10" ht="16" x14ac:dyDescent="0.4">
      <c r="B77" s="37" t="s">
        <v>182</v>
      </c>
      <c r="C77" s="19"/>
      <c r="D77">
        <f t="shared" si="3"/>
        <v>0</v>
      </c>
      <c r="E77" s="43"/>
    </row>
    <row r="78" spans="2:10" ht="16" x14ac:dyDescent="0.4">
      <c r="B78" s="37" t="s">
        <v>183</v>
      </c>
      <c r="C78" s="19"/>
      <c r="D78">
        <f t="shared" si="3"/>
        <v>0</v>
      </c>
    </row>
    <row r="79" spans="2:10" ht="16" x14ac:dyDescent="0.4">
      <c r="B79" s="37" t="s">
        <v>184</v>
      </c>
      <c r="C79" s="19"/>
      <c r="D79">
        <f t="shared" si="3"/>
        <v>0</v>
      </c>
      <c r="F79" s="44"/>
      <c r="G79" s="44"/>
      <c r="H79" s="44"/>
      <c r="I79" s="44"/>
      <c r="J79" s="44"/>
    </row>
    <row r="80" spans="2:10" ht="16" x14ac:dyDescent="0.4">
      <c r="B80" s="37" t="s">
        <v>185</v>
      </c>
      <c r="C80" s="19"/>
      <c r="D80">
        <f t="shared" si="3"/>
        <v>0</v>
      </c>
    </row>
    <row r="81" spans="1:10" ht="16" x14ac:dyDescent="0.4">
      <c r="B81" s="37" t="s">
        <v>186</v>
      </c>
      <c r="C81" s="19"/>
      <c r="D81">
        <f t="shared" si="3"/>
        <v>0</v>
      </c>
    </row>
    <row r="82" spans="1:10" ht="16" x14ac:dyDescent="0.4">
      <c r="B82" s="37" t="s">
        <v>187</v>
      </c>
      <c r="C82" s="19"/>
      <c r="D82">
        <f t="shared" si="3"/>
        <v>0</v>
      </c>
    </row>
    <row r="83" spans="1:10" ht="16" x14ac:dyDescent="0.35">
      <c r="B83" s="12" t="s">
        <v>52</v>
      </c>
      <c r="C83" s="13"/>
      <c r="D83"/>
    </row>
    <row r="84" spans="1:10" s="44" customFormat="1" ht="16.5" thickBot="1" x14ac:dyDescent="0.45">
      <c r="A84"/>
      <c r="B84" s="51" t="s">
        <v>85</v>
      </c>
      <c r="C84" s="32"/>
      <c r="D84">
        <f t="shared" si="3"/>
        <v>0</v>
      </c>
      <c r="F84"/>
      <c r="G84"/>
      <c r="H84"/>
      <c r="I84"/>
      <c r="J84"/>
    </row>
    <row r="85" spans="1:10" x14ac:dyDescent="0.35">
      <c r="D85">
        <f>SUM(D75:D84)/9</f>
        <v>0</v>
      </c>
    </row>
    <row r="86" spans="1:10" x14ac:dyDescent="0.35">
      <c r="D86"/>
    </row>
    <row r="87" spans="1:10" x14ac:dyDescent="0.35">
      <c r="D87"/>
    </row>
    <row r="88" spans="1:10" x14ac:dyDescent="0.35">
      <c r="D88"/>
    </row>
    <row r="89" spans="1:10" x14ac:dyDescent="0.35">
      <c r="D89"/>
    </row>
    <row r="90" spans="1:10" x14ac:dyDescent="0.35">
      <c r="D90"/>
    </row>
    <row r="91" spans="1:10" x14ac:dyDescent="0.35">
      <c r="D91"/>
    </row>
    <row r="92" spans="1:10" x14ac:dyDescent="0.35">
      <c r="D92"/>
    </row>
    <row r="93" spans="1:10" x14ac:dyDescent="0.35">
      <c r="D93"/>
    </row>
    <row r="94" spans="1:10" x14ac:dyDescent="0.35">
      <c r="D94"/>
    </row>
    <row r="95" spans="1:10" x14ac:dyDescent="0.35">
      <c r="D95"/>
    </row>
    <row r="96" spans="1:10" x14ac:dyDescent="0.35">
      <c r="D96"/>
    </row>
    <row r="97" spans="4:4" x14ac:dyDescent="0.35">
      <c r="D97"/>
    </row>
    <row r="98" spans="4:4" x14ac:dyDescent="0.35">
      <c r="D98"/>
    </row>
    <row r="99" spans="4:4" x14ac:dyDescent="0.35">
      <c r="D99"/>
    </row>
    <row r="100" spans="4:4" x14ac:dyDescent="0.35">
      <c r="D100"/>
    </row>
    <row r="101" spans="4:4" x14ac:dyDescent="0.35">
      <c r="D101"/>
    </row>
    <row r="102" spans="4:4" x14ac:dyDescent="0.35">
      <c r="D102"/>
    </row>
    <row r="103" spans="4:4" x14ac:dyDescent="0.35">
      <c r="D103"/>
    </row>
    <row r="104" spans="4:4" x14ac:dyDescent="0.35">
      <c r="D104"/>
    </row>
    <row r="105" spans="4:4" x14ac:dyDescent="0.35">
      <c r="D105"/>
    </row>
    <row r="106" spans="4:4" x14ac:dyDescent="0.35">
      <c r="D106"/>
    </row>
    <row r="107" spans="4:4" x14ac:dyDescent="0.35">
      <c r="D107"/>
    </row>
    <row r="108" spans="4:4" x14ac:dyDescent="0.35">
      <c r="D108"/>
    </row>
    <row r="109" spans="4:4" x14ac:dyDescent="0.35">
      <c r="D109"/>
    </row>
    <row r="110" spans="4:4" x14ac:dyDescent="0.35">
      <c r="D110"/>
    </row>
    <row r="111" spans="4:4" x14ac:dyDescent="0.35">
      <c r="D111"/>
    </row>
    <row r="112" spans="4:4" x14ac:dyDescent="0.35">
      <c r="D112"/>
    </row>
    <row r="113" spans="4:4" x14ac:dyDescent="0.35">
      <c r="D113"/>
    </row>
    <row r="114" spans="4:4" x14ac:dyDescent="0.35">
      <c r="D114"/>
    </row>
    <row r="115" spans="4:4" x14ac:dyDescent="0.35">
      <c r="D115"/>
    </row>
    <row r="116" spans="4:4" x14ac:dyDescent="0.35">
      <c r="D116"/>
    </row>
    <row r="117" spans="4:4" x14ac:dyDescent="0.35">
      <c r="D117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  <row r="124" spans="4:4" x14ac:dyDescent="0.35">
      <c r="D124"/>
    </row>
    <row r="125" spans="4:4" x14ac:dyDescent="0.35">
      <c r="D125"/>
    </row>
    <row r="126" spans="4:4" x14ac:dyDescent="0.35">
      <c r="D126"/>
    </row>
    <row r="127" spans="4:4" x14ac:dyDescent="0.35">
      <c r="D127"/>
    </row>
    <row r="128" spans="4:4" x14ac:dyDescent="0.35">
      <c r="D128"/>
    </row>
    <row r="129" spans="4:4" x14ac:dyDescent="0.35">
      <c r="D129"/>
    </row>
    <row r="130" spans="4:4" x14ac:dyDescent="0.35">
      <c r="D130"/>
    </row>
    <row r="131" spans="4:4" x14ac:dyDescent="0.35">
      <c r="D131"/>
    </row>
    <row r="132" spans="4:4" x14ac:dyDescent="0.35">
      <c r="D132"/>
    </row>
    <row r="133" spans="4:4" x14ac:dyDescent="0.35">
      <c r="D133"/>
    </row>
    <row r="134" spans="4:4" x14ac:dyDescent="0.35">
      <c r="D134"/>
    </row>
    <row r="135" spans="4:4" x14ac:dyDescent="0.35">
      <c r="D135"/>
    </row>
    <row r="136" spans="4:4" x14ac:dyDescent="0.35">
      <c r="D136"/>
    </row>
    <row r="137" spans="4:4" x14ac:dyDescent="0.35">
      <c r="D137"/>
    </row>
    <row r="138" spans="4:4" x14ac:dyDescent="0.35">
      <c r="D138"/>
    </row>
    <row r="139" spans="4:4" x14ac:dyDescent="0.35">
      <c r="D139"/>
    </row>
    <row r="140" spans="4:4" x14ac:dyDescent="0.35">
      <c r="D140"/>
    </row>
    <row r="141" spans="4:4" x14ac:dyDescent="0.35">
      <c r="D141"/>
    </row>
    <row r="142" spans="4:4" x14ac:dyDescent="0.35">
      <c r="D142"/>
    </row>
    <row r="143" spans="4:4" x14ac:dyDescent="0.35">
      <c r="D143"/>
    </row>
    <row r="144" spans="4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  <row r="148" spans="4:4" x14ac:dyDescent="0.35">
      <c r="D148"/>
    </row>
    <row r="149" spans="4:4" x14ac:dyDescent="0.35">
      <c r="D149"/>
    </row>
    <row r="150" spans="4:4" x14ac:dyDescent="0.35">
      <c r="D150"/>
    </row>
    <row r="151" spans="4:4" x14ac:dyDescent="0.35">
      <c r="D151"/>
    </row>
    <row r="152" spans="4:4" x14ac:dyDescent="0.35">
      <c r="D152"/>
    </row>
    <row r="153" spans="4:4" x14ac:dyDescent="0.35">
      <c r="D153"/>
    </row>
    <row r="154" spans="4:4" x14ac:dyDescent="0.35">
      <c r="D154"/>
    </row>
    <row r="155" spans="4:4" x14ac:dyDescent="0.35">
      <c r="D155"/>
    </row>
    <row r="156" spans="4:4" x14ac:dyDescent="0.35">
      <c r="D156"/>
    </row>
    <row r="157" spans="4:4" x14ac:dyDescent="0.35">
      <c r="D157"/>
    </row>
    <row r="158" spans="4:4" x14ac:dyDescent="0.35">
      <c r="D158"/>
    </row>
    <row r="159" spans="4:4" x14ac:dyDescent="0.35">
      <c r="D159"/>
    </row>
    <row r="160" spans="4:4" x14ac:dyDescent="0.35">
      <c r="D160"/>
    </row>
    <row r="161" spans="4:4" x14ac:dyDescent="0.35">
      <c r="D161"/>
    </row>
    <row r="162" spans="4:4" x14ac:dyDescent="0.35">
      <c r="D162"/>
    </row>
    <row r="163" spans="4:4" x14ac:dyDescent="0.35">
      <c r="D163"/>
    </row>
    <row r="164" spans="4:4" x14ac:dyDescent="0.35">
      <c r="D164"/>
    </row>
    <row r="165" spans="4:4" x14ac:dyDescent="0.35">
      <c r="D165"/>
    </row>
    <row r="166" spans="4:4" x14ac:dyDescent="0.35">
      <c r="D166"/>
    </row>
    <row r="167" spans="4:4" x14ac:dyDescent="0.35">
      <c r="D167"/>
    </row>
    <row r="168" spans="4:4" x14ac:dyDescent="0.35">
      <c r="D168"/>
    </row>
    <row r="169" spans="4:4" x14ac:dyDescent="0.35">
      <c r="D169"/>
    </row>
    <row r="170" spans="4:4" x14ac:dyDescent="0.35">
      <c r="D170"/>
    </row>
    <row r="171" spans="4:4" x14ac:dyDescent="0.35">
      <c r="D171"/>
    </row>
    <row r="172" spans="4:4" x14ac:dyDescent="0.35">
      <c r="D172"/>
    </row>
    <row r="173" spans="4:4" x14ac:dyDescent="0.35">
      <c r="D173"/>
    </row>
    <row r="174" spans="4:4" x14ac:dyDescent="0.35">
      <c r="D174"/>
    </row>
    <row r="175" spans="4:4" x14ac:dyDescent="0.35">
      <c r="D175"/>
    </row>
    <row r="176" spans="4:4" x14ac:dyDescent="0.35">
      <c r="D176"/>
    </row>
    <row r="177" spans="4:4" x14ac:dyDescent="0.35">
      <c r="D177"/>
    </row>
    <row r="178" spans="4:4" x14ac:dyDescent="0.35">
      <c r="D178"/>
    </row>
    <row r="179" spans="4:4" x14ac:dyDescent="0.35">
      <c r="D179"/>
    </row>
    <row r="180" spans="4:4" x14ac:dyDescent="0.35">
      <c r="D180"/>
    </row>
    <row r="181" spans="4:4" x14ac:dyDescent="0.35">
      <c r="D181"/>
    </row>
    <row r="182" spans="4:4" x14ac:dyDescent="0.35">
      <c r="D182"/>
    </row>
    <row r="183" spans="4:4" x14ac:dyDescent="0.35">
      <c r="D183"/>
    </row>
    <row r="184" spans="4:4" x14ac:dyDescent="0.35">
      <c r="D184"/>
    </row>
    <row r="185" spans="4:4" x14ac:dyDescent="0.35">
      <c r="D185"/>
    </row>
    <row r="186" spans="4:4" x14ac:dyDescent="0.35">
      <c r="D186"/>
    </row>
    <row r="187" spans="4:4" x14ac:dyDescent="0.35">
      <c r="D187"/>
    </row>
    <row r="188" spans="4:4" x14ac:dyDescent="0.35">
      <c r="D188"/>
    </row>
    <row r="189" spans="4:4" x14ac:dyDescent="0.35">
      <c r="D189"/>
    </row>
    <row r="190" spans="4:4" x14ac:dyDescent="0.35">
      <c r="D190"/>
    </row>
    <row r="191" spans="4:4" x14ac:dyDescent="0.35">
      <c r="D191"/>
    </row>
    <row r="192" spans="4:4" x14ac:dyDescent="0.35">
      <c r="D192"/>
    </row>
    <row r="193" spans="4:4" x14ac:dyDescent="0.35">
      <c r="D193"/>
    </row>
    <row r="194" spans="4:4" x14ac:dyDescent="0.35">
      <c r="D194"/>
    </row>
  </sheetData>
  <sheetProtection sheet="1" objects="1" scenarios="1" selectLockedCells="1"/>
  <mergeCells count="1">
    <mergeCell ref="B10:C10"/>
  </mergeCells>
  <dataValidations count="1">
    <dataValidation type="list" allowBlank="1" showInputMessage="1" showErrorMessage="1" sqref="C66:C68 C14:C21 C23:C25 C27:C30 C42:C43 C49:C51 C53:C56 C58:C60 C62:C64 C75:C82 C70:C72 C84 C32:C40" xr:uid="{09977655-C09C-4A78-9237-85CC85DD0837}">
      <formula1>"Yes, No"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EB6B-24FC-414E-A608-11ADE4C20989}">
  <dimension ref="A1:J194"/>
  <sheetViews>
    <sheetView workbookViewId="0">
      <selection activeCell="C14" sqref="C14"/>
    </sheetView>
  </sheetViews>
  <sheetFormatPr defaultRowHeight="14.5" x14ac:dyDescent="0.35"/>
  <cols>
    <col min="1" max="1" width="19.81640625" customWidth="1"/>
    <col min="2" max="2" width="77" bestFit="1" customWidth="1"/>
    <col min="3" max="3" width="12.26953125" style="33" customWidth="1"/>
    <col min="4" max="4" width="10.453125" style="1" hidden="1" customWidth="1"/>
    <col min="5" max="5" width="38.1796875" customWidth="1"/>
    <col min="6" max="6" width="44.54296875" customWidth="1"/>
    <col min="7" max="7" width="7.1796875" customWidth="1"/>
  </cols>
  <sheetData>
    <row r="1" spans="1:10" ht="28.5" customHeight="1" x14ac:dyDescent="0.65">
      <c r="A1" s="70" t="s">
        <v>21</v>
      </c>
      <c r="B1" s="71"/>
      <c r="C1" s="74"/>
    </row>
    <row r="2" spans="1:10" ht="15.75" customHeight="1" thickBot="1" x14ac:dyDescent="0.7">
      <c r="A2" s="72"/>
      <c r="B2" s="73"/>
      <c r="C2" s="74"/>
    </row>
    <row r="3" spans="1:10" ht="36.75" customHeight="1" x14ac:dyDescent="0.5">
      <c r="A3" s="2" t="s">
        <v>22</v>
      </c>
      <c r="B3" s="77"/>
      <c r="C3" s="75"/>
      <c r="D3" s="3"/>
    </row>
    <row r="4" spans="1:10" ht="36.75" customHeight="1" x14ac:dyDescent="0.5">
      <c r="A4" s="4" t="s">
        <v>23</v>
      </c>
      <c r="B4" s="78"/>
      <c r="C4" s="75"/>
      <c r="D4" s="5"/>
    </row>
    <row r="5" spans="1:10" ht="36.75" customHeight="1" x14ac:dyDescent="0.5">
      <c r="A5" s="4" t="s">
        <v>24</v>
      </c>
      <c r="B5" s="78"/>
      <c r="C5" s="75"/>
      <c r="D5" s="5"/>
    </row>
    <row r="6" spans="1:10" ht="36.75" customHeight="1" x14ac:dyDescent="0.5">
      <c r="A6" s="4" t="s">
        <v>25</v>
      </c>
      <c r="B6" s="78"/>
      <c r="C6" s="75"/>
      <c r="D6" s="5"/>
    </row>
    <row r="7" spans="1:10" ht="36.75" customHeight="1" x14ac:dyDescent="0.5">
      <c r="A7" s="4" t="s">
        <v>26</v>
      </c>
      <c r="B7" s="78" t="s">
        <v>204</v>
      </c>
      <c r="C7" s="75"/>
      <c r="D7" s="5"/>
    </row>
    <row r="8" spans="1:10" ht="36.75" customHeight="1" thickBot="1" x14ac:dyDescent="0.55000000000000004">
      <c r="A8" s="6" t="s">
        <v>197</v>
      </c>
      <c r="B8" s="79"/>
      <c r="C8" s="76"/>
      <c r="D8" s="5"/>
    </row>
    <row r="9" spans="1:10" ht="36.75" customHeight="1" thickBot="1" x14ac:dyDescent="0.55000000000000004">
      <c r="A9" s="6" t="s">
        <v>29</v>
      </c>
      <c r="B9" s="79"/>
      <c r="C9" s="76"/>
      <c r="D9" s="5"/>
    </row>
    <row r="10" spans="1:10" ht="15" thickBot="1" x14ac:dyDescent="0.4">
      <c r="B10" s="105"/>
      <c r="C10" s="106"/>
      <c r="D10"/>
    </row>
    <row r="11" spans="1:10" ht="15" thickBot="1" x14ac:dyDescent="0.4">
      <c r="B11" s="54" t="s">
        <v>31</v>
      </c>
      <c r="C11" s="55"/>
      <c r="D11"/>
    </row>
    <row r="12" spans="1:10" ht="19" thickBot="1" x14ac:dyDescent="0.4">
      <c r="B12" s="52" t="s">
        <v>2</v>
      </c>
      <c r="C12" s="53" t="s">
        <v>32</v>
      </c>
      <c r="D12"/>
      <c r="G12" s="9" t="s">
        <v>16</v>
      </c>
      <c r="H12" s="10" t="s">
        <v>17</v>
      </c>
      <c r="I12" s="10" t="s">
        <v>18</v>
      </c>
      <c r="J12" s="11" t="s">
        <v>19</v>
      </c>
    </row>
    <row r="13" spans="1:10" ht="18.5" x14ac:dyDescent="0.35">
      <c r="B13" s="12" t="s">
        <v>33</v>
      </c>
      <c r="C13" s="13"/>
      <c r="D13"/>
      <c r="F13" s="14" t="s">
        <v>2</v>
      </c>
      <c r="G13" s="15">
        <f>D44</f>
        <v>0</v>
      </c>
      <c r="H13" s="16">
        <v>0.8</v>
      </c>
      <c r="I13" s="16">
        <v>0.6</v>
      </c>
      <c r="J13" s="17">
        <v>1</v>
      </c>
    </row>
    <row r="14" spans="1:10" ht="18.5" x14ac:dyDescent="0.4">
      <c r="B14" s="18" t="s">
        <v>34</v>
      </c>
      <c r="C14" s="19"/>
      <c r="D14">
        <f>IF(C14="Yes",1,0)</f>
        <v>0</v>
      </c>
      <c r="F14" s="24" t="s">
        <v>7</v>
      </c>
      <c r="G14" s="21">
        <f>D72</f>
        <v>0</v>
      </c>
      <c r="H14" s="22">
        <v>0.8</v>
      </c>
      <c r="I14" s="22">
        <v>0.6</v>
      </c>
      <c r="J14" s="23">
        <v>1</v>
      </c>
    </row>
    <row r="15" spans="1:10" ht="19" thickBot="1" x14ac:dyDescent="0.45">
      <c r="B15" s="18" t="s">
        <v>36</v>
      </c>
      <c r="C15" s="19"/>
      <c r="D15">
        <f>IF(C15="Yes",1,0)</f>
        <v>0</v>
      </c>
      <c r="F15" s="25" t="s">
        <v>14</v>
      </c>
      <c r="G15" s="26">
        <f>D85</f>
        <v>0</v>
      </c>
      <c r="H15" s="22">
        <v>0.8</v>
      </c>
      <c r="I15" s="22">
        <v>0.6</v>
      </c>
      <c r="J15" s="23">
        <v>1</v>
      </c>
    </row>
    <row r="16" spans="1:10" ht="19" thickBot="1" x14ac:dyDescent="0.45">
      <c r="B16" s="18" t="s">
        <v>37</v>
      </c>
      <c r="C16" s="19"/>
      <c r="D16">
        <f t="shared" ref="D16:D21" si="0">IF(C16="Yes",1,0)</f>
        <v>0</v>
      </c>
      <c r="F16" s="25" t="s">
        <v>15</v>
      </c>
      <c r="G16" s="26">
        <f>AVERAGE(G13:G15)</f>
        <v>0</v>
      </c>
      <c r="H16" s="91">
        <v>0.8</v>
      </c>
      <c r="I16" s="91">
        <v>0.6</v>
      </c>
      <c r="J16" s="92">
        <v>1</v>
      </c>
    </row>
    <row r="17" spans="2:4" ht="16" x14ac:dyDescent="0.4">
      <c r="B17" s="18" t="s">
        <v>38</v>
      </c>
      <c r="C17" s="19"/>
      <c r="D17">
        <f t="shared" si="0"/>
        <v>0</v>
      </c>
    </row>
    <row r="18" spans="2:4" ht="16" x14ac:dyDescent="0.4">
      <c r="B18" s="18" t="s">
        <v>39</v>
      </c>
      <c r="C18" s="19"/>
      <c r="D18">
        <f t="shared" si="0"/>
        <v>0</v>
      </c>
    </row>
    <row r="19" spans="2:4" ht="16" x14ac:dyDescent="0.4">
      <c r="B19" s="18" t="s">
        <v>40</v>
      </c>
      <c r="C19" s="19"/>
      <c r="D19">
        <f t="shared" si="0"/>
        <v>0</v>
      </c>
    </row>
    <row r="20" spans="2:4" ht="16" x14ac:dyDescent="0.4">
      <c r="B20" s="18" t="s">
        <v>41</v>
      </c>
      <c r="C20" s="19"/>
      <c r="D20">
        <f t="shared" si="0"/>
        <v>0</v>
      </c>
    </row>
    <row r="21" spans="2:4" ht="16" x14ac:dyDescent="0.4">
      <c r="B21" s="27" t="s">
        <v>42</v>
      </c>
      <c r="C21" s="19"/>
      <c r="D21">
        <f t="shared" si="0"/>
        <v>0</v>
      </c>
    </row>
    <row r="22" spans="2:4" ht="16" x14ac:dyDescent="0.35">
      <c r="B22" s="12" t="s">
        <v>43</v>
      </c>
      <c r="C22" s="13"/>
      <c r="D22"/>
    </row>
    <row r="23" spans="2:4" ht="16" x14ac:dyDescent="0.4">
      <c r="B23" s="28" t="s">
        <v>44</v>
      </c>
      <c r="C23" s="19"/>
      <c r="D23">
        <f>IF(C23="Yes",1,0)</f>
        <v>0</v>
      </c>
    </row>
    <row r="24" spans="2:4" ht="16" x14ac:dyDescent="0.4">
      <c r="B24" s="28" t="s">
        <v>45</v>
      </c>
      <c r="C24" s="19"/>
      <c r="D24">
        <f>IF(C24="Yes",1,0)</f>
        <v>0</v>
      </c>
    </row>
    <row r="25" spans="2:4" ht="16" x14ac:dyDescent="0.4">
      <c r="B25" s="28" t="s">
        <v>46</v>
      </c>
      <c r="C25" s="19"/>
      <c r="D25">
        <f>IF(C25="Yes",1,0)</f>
        <v>0</v>
      </c>
    </row>
    <row r="26" spans="2:4" ht="16" x14ac:dyDescent="0.35">
      <c r="B26" s="12" t="s">
        <v>47</v>
      </c>
      <c r="C26" s="13"/>
      <c r="D26"/>
    </row>
    <row r="27" spans="2:4" ht="16" x14ac:dyDescent="0.4">
      <c r="B27" s="28" t="s">
        <v>48</v>
      </c>
      <c r="C27" s="19"/>
      <c r="D27">
        <f>IF(C27="Yes",1,0)</f>
        <v>0</v>
      </c>
    </row>
    <row r="28" spans="2:4" ht="16" x14ac:dyDescent="0.4">
      <c r="B28" s="28" t="s">
        <v>49</v>
      </c>
      <c r="C28" s="19"/>
      <c r="D28">
        <f>IF(C28="Yes",1,0)</f>
        <v>0</v>
      </c>
    </row>
    <row r="29" spans="2:4" ht="16" x14ac:dyDescent="0.4">
      <c r="B29" s="28" t="s">
        <v>50</v>
      </c>
      <c r="C29" s="19"/>
      <c r="D29">
        <f>IF(C29="Yes",1,0)</f>
        <v>0</v>
      </c>
    </row>
    <row r="30" spans="2:4" ht="16" x14ac:dyDescent="0.4">
      <c r="B30" s="28" t="s">
        <v>51</v>
      </c>
      <c r="C30" s="19"/>
      <c r="D30">
        <f>IF(C30="Yes",1,0)</f>
        <v>0</v>
      </c>
    </row>
    <row r="31" spans="2:4" ht="16" x14ac:dyDescent="0.35">
      <c r="B31" s="12" t="s">
        <v>52</v>
      </c>
      <c r="C31" s="13"/>
      <c r="D31"/>
    </row>
    <row r="32" spans="2:4" ht="16" x14ac:dyDescent="0.4">
      <c r="B32" s="27" t="s">
        <v>53</v>
      </c>
      <c r="C32" s="19"/>
      <c r="D32">
        <f t="shared" ref="D32:D40" si="1">IF(C32="Yes",1,0)</f>
        <v>0</v>
      </c>
    </row>
    <row r="33" spans="2:4" ht="16" x14ac:dyDescent="0.4">
      <c r="B33" s="27" t="s">
        <v>54</v>
      </c>
      <c r="C33" s="19"/>
      <c r="D33">
        <f t="shared" si="1"/>
        <v>0</v>
      </c>
    </row>
    <row r="34" spans="2:4" ht="16" x14ac:dyDescent="0.4">
      <c r="B34" s="29" t="s">
        <v>55</v>
      </c>
      <c r="C34" s="19"/>
      <c r="D34">
        <f t="shared" si="1"/>
        <v>0</v>
      </c>
    </row>
    <row r="35" spans="2:4" ht="16" x14ac:dyDescent="0.4">
      <c r="B35" s="27" t="s">
        <v>56</v>
      </c>
      <c r="C35" s="19"/>
      <c r="D35">
        <f t="shared" si="1"/>
        <v>0</v>
      </c>
    </row>
    <row r="36" spans="2:4" ht="16" x14ac:dyDescent="0.4">
      <c r="B36" s="27" t="s">
        <v>57</v>
      </c>
      <c r="C36" s="19"/>
      <c r="D36">
        <f t="shared" si="1"/>
        <v>0</v>
      </c>
    </row>
    <row r="37" spans="2:4" ht="16" x14ac:dyDescent="0.4">
      <c r="B37" s="27" t="s">
        <v>58</v>
      </c>
      <c r="C37" s="19"/>
      <c r="D37">
        <f t="shared" si="1"/>
        <v>0</v>
      </c>
    </row>
    <row r="38" spans="2:4" ht="16" x14ac:dyDescent="0.4">
      <c r="B38" s="27" t="s">
        <v>59</v>
      </c>
      <c r="C38" s="19"/>
      <c r="D38">
        <f t="shared" si="1"/>
        <v>0</v>
      </c>
    </row>
    <row r="39" spans="2:4" ht="16" x14ac:dyDescent="0.4">
      <c r="B39" s="30" t="s">
        <v>60</v>
      </c>
      <c r="C39" s="19"/>
      <c r="D39">
        <f t="shared" si="1"/>
        <v>0</v>
      </c>
    </row>
    <row r="40" spans="2:4" ht="16" x14ac:dyDescent="0.4">
      <c r="B40" s="30" t="s">
        <v>61</v>
      </c>
      <c r="C40" s="19"/>
      <c r="D40">
        <f t="shared" si="1"/>
        <v>0</v>
      </c>
    </row>
    <row r="41" spans="2:4" ht="16" x14ac:dyDescent="0.35">
      <c r="B41" s="12" t="s">
        <v>62</v>
      </c>
      <c r="C41" s="13"/>
      <c r="D41"/>
    </row>
    <row r="42" spans="2:4" ht="16.5" thickBot="1" x14ac:dyDescent="0.45">
      <c r="B42" s="31" t="s">
        <v>63</v>
      </c>
      <c r="C42" s="32"/>
      <c r="D42">
        <f>IF(C42="Yes",1,0)</f>
        <v>0</v>
      </c>
    </row>
    <row r="43" spans="2:4" ht="16" x14ac:dyDescent="0.4">
      <c r="B43" s="33"/>
      <c r="C43" s="34"/>
      <c r="D43"/>
    </row>
    <row r="44" spans="2:4" x14ac:dyDescent="0.35">
      <c r="B44" s="33"/>
      <c r="C44" s="1"/>
      <c r="D44">
        <f>SUM(D14:D42)/25</f>
        <v>0</v>
      </c>
    </row>
    <row r="45" spans="2:4" ht="15" thickBot="1" x14ac:dyDescent="0.4">
      <c r="B45" s="33"/>
      <c r="C45" s="1"/>
      <c r="D45"/>
    </row>
    <row r="46" spans="2:4" x14ac:dyDescent="0.35">
      <c r="B46" s="35" t="s">
        <v>156</v>
      </c>
      <c r="C46" s="36"/>
      <c r="D46"/>
    </row>
    <row r="47" spans="2:4" ht="18.5" x14ac:dyDescent="0.35">
      <c r="B47" s="45" t="s">
        <v>7</v>
      </c>
      <c r="C47" s="8"/>
      <c r="D47"/>
    </row>
    <row r="48" spans="2:4" ht="16" x14ac:dyDescent="0.35">
      <c r="B48" s="12" t="s">
        <v>157</v>
      </c>
      <c r="C48" s="13"/>
      <c r="D48"/>
    </row>
    <row r="49" spans="2:6" ht="16" x14ac:dyDescent="0.4">
      <c r="B49" s="28" t="s">
        <v>158</v>
      </c>
      <c r="C49" s="19"/>
      <c r="D49">
        <f>IF(C49="Yes",1,0)</f>
        <v>0</v>
      </c>
    </row>
    <row r="50" spans="2:6" ht="16" x14ac:dyDescent="0.4">
      <c r="B50" s="28" t="s">
        <v>159</v>
      </c>
      <c r="C50" s="19"/>
      <c r="D50">
        <f t="shared" ref="D50:D71" si="2">IF(C50="Yes",1,0)</f>
        <v>0</v>
      </c>
    </row>
    <row r="51" spans="2:6" ht="16" x14ac:dyDescent="0.4">
      <c r="B51" s="28" t="s">
        <v>160</v>
      </c>
      <c r="C51" s="19"/>
      <c r="D51">
        <f t="shared" si="2"/>
        <v>0</v>
      </c>
    </row>
    <row r="52" spans="2:6" ht="16" x14ac:dyDescent="0.35">
      <c r="B52" s="12" t="s">
        <v>161</v>
      </c>
      <c r="C52" s="13"/>
      <c r="D52"/>
    </row>
    <row r="53" spans="2:6" ht="16" x14ac:dyDescent="0.4">
      <c r="B53" s="28" t="s">
        <v>162</v>
      </c>
      <c r="C53" s="19"/>
      <c r="D53">
        <f t="shared" si="2"/>
        <v>0</v>
      </c>
    </row>
    <row r="54" spans="2:6" ht="16" x14ac:dyDescent="0.4">
      <c r="B54" s="28" t="s">
        <v>163</v>
      </c>
      <c r="C54" s="19"/>
      <c r="D54">
        <f t="shared" si="2"/>
        <v>0</v>
      </c>
    </row>
    <row r="55" spans="2:6" ht="16" x14ac:dyDescent="0.4">
      <c r="B55" s="28" t="s">
        <v>164</v>
      </c>
      <c r="C55" s="19"/>
      <c r="D55">
        <f t="shared" si="2"/>
        <v>0</v>
      </c>
      <c r="F55" s="38"/>
    </row>
    <row r="56" spans="2:6" ht="16" x14ac:dyDescent="0.4">
      <c r="B56" s="28" t="s">
        <v>165</v>
      </c>
      <c r="C56" s="19"/>
      <c r="D56">
        <f t="shared" si="2"/>
        <v>0</v>
      </c>
      <c r="F56" s="40"/>
    </row>
    <row r="57" spans="2:6" ht="16" x14ac:dyDescent="0.35">
      <c r="B57" s="12" t="s">
        <v>166</v>
      </c>
      <c r="C57" s="13"/>
      <c r="D57"/>
      <c r="F57" s="40"/>
    </row>
    <row r="58" spans="2:6" ht="16" x14ac:dyDescent="0.4">
      <c r="B58" s="28" t="s">
        <v>167</v>
      </c>
      <c r="C58" s="19"/>
      <c r="D58">
        <f t="shared" si="2"/>
        <v>0</v>
      </c>
      <c r="F58" s="40"/>
    </row>
    <row r="59" spans="2:6" ht="16" x14ac:dyDescent="0.4">
      <c r="B59" s="28" t="s">
        <v>168</v>
      </c>
      <c r="C59" s="19"/>
      <c r="D59">
        <f t="shared" si="2"/>
        <v>0</v>
      </c>
      <c r="F59" s="40"/>
    </row>
    <row r="60" spans="2:6" ht="16.5" customHeight="1" x14ac:dyDescent="0.4">
      <c r="B60" s="28" t="s">
        <v>169</v>
      </c>
      <c r="C60" s="19"/>
      <c r="D60">
        <f t="shared" si="2"/>
        <v>0</v>
      </c>
      <c r="E60" s="39"/>
      <c r="F60" s="40"/>
    </row>
    <row r="61" spans="2:6" ht="16" x14ac:dyDescent="0.35">
      <c r="B61" s="12" t="s">
        <v>170</v>
      </c>
      <c r="C61" s="13"/>
      <c r="D61"/>
      <c r="F61" s="40"/>
    </row>
    <row r="62" spans="2:6" ht="16" x14ac:dyDescent="0.4">
      <c r="B62" s="28" t="s">
        <v>171</v>
      </c>
      <c r="C62" s="19"/>
      <c r="D62">
        <f t="shared" si="2"/>
        <v>0</v>
      </c>
      <c r="E62" s="41"/>
      <c r="F62" s="40"/>
    </row>
    <row r="63" spans="2:6" ht="16" x14ac:dyDescent="0.4">
      <c r="B63" s="28" t="s">
        <v>172</v>
      </c>
      <c r="C63" s="19"/>
      <c r="D63">
        <f t="shared" si="2"/>
        <v>0</v>
      </c>
      <c r="E63" s="40"/>
      <c r="F63" s="40"/>
    </row>
    <row r="64" spans="2:6" ht="15" customHeight="1" x14ac:dyDescent="0.4">
      <c r="B64" s="28" t="s">
        <v>173</v>
      </c>
      <c r="C64" s="19"/>
      <c r="D64">
        <f t="shared" si="2"/>
        <v>0</v>
      </c>
      <c r="E64" s="40"/>
      <c r="F64" s="40"/>
    </row>
    <row r="65" spans="2:10" ht="15" customHeight="1" x14ac:dyDescent="0.35">
      <c r="B65" s="12" t="s">
        <v>174</v>
      </c>
      <c r="C65" s="13"/>
      <c r="D65"/>
      <c r="E65" s="40"/>
      <c r="F65" s="40"/>
    </row>
    <row r="66" spans="2:10" ht="15" customHeight="1" x14ac:dyDescent="0.4">
      <c r="B66" s="28" t="s">
        <v>175</v>
      </c>
      <c r="C66" s="19"/>
      <c r="D66">
        <f t="shared" si="2"/>
        <v>0</v>
      </c>
      <c r="E66" s="40"/>
      <c r="F66" s="40"/>
    </row>
    <row r="67" spans="2:10" ht="15" customHeight="1" x14ac:dyDescent="0.4">
      <c r="B67" s="28" t="s">
        <v>176</v>
      </c>
      <c r="C67" s="19"/>
      <c r="D67">
        <f t="shared" si="2"/>
        <v>0</v>
      </c>
      <c r="E67" s="40"/>
    </row>
    <row r="68" spans="2:10" ht="15" customHeight="1" x14ac:dyDescent="0.4">
      <c r="B68" s="28" t="s">
        <v>177</v>
      </c>
      <c r="C68" s="19"/>
      <c r="D68">
        <f t="shared" si="2"/>
        <v>0</v>
      </c>
      <c r="E68" s="40"/>
    </row>
    <row r="69" spans="2:10" ht="15" customHeight="1" x14ac:dyDescent="0.35">
      <c r="B69" s="12" t="s">
        <v>52</v>
      </c>
      <c r="C69" s="13"/>
      <c r="D69"/>
      <c r="E69" s="40"/>
    </row>
    <row r="70" spans="2:10" ht="15" customHeight="1" x14ac:dyDescent="0.4">
      <c r="B70" s="27" t="s">
        <v>85</v>
      </c>
      <c r="C70" s="19"/>
      <c r="D70">
        <f t="shared" si="2"/>
        <v>0</v>
      </c>
      <c r="E70" s="40"/>
    </row>
    <row r="71" spans="2:10" ht="15" customHeight="1" thickBot="1" x14ac:dyDescent="0.45">
      <c r="B71" s="31"/>
      <c r="C71" s="32"/>
      <c r="D71">
        <f t="shared" si="2"/>
        <v>0</v>
      </c>
      <c r="E71" s="40"/>
    </row>
    <row r="72" spans="2:10" ht="16.5" thickBot="1" x14ac:dyDescent="0.45">
      <c r="B72" s="47"/>
      <c r="C72" s="48"/>
      <c r="D72">
        <f>SUM(D49:D71)/18</f>
        <v>0</v>
      </c>
    </row>
    <row r="73" spans="2:10" ht="18.5" x14ac:dyDescent="0.35">
      <c r="B73" s="49" t="s">
        <v>178</v>
      </c>
      <c r="C73" s="50"/>
      <c r="D73"/>
    </row>
    <row r="74" spans="2:10" ht="16" x14ac:dyDescent="0.35">
      <c r="B74" s="12" t="s">
        <v>179</v>
      </c>
      <c r="C74" s="13"/>
      <c r="D74"/>
    </row>
    <row r="75" spans="2:10" ht="16" x14ac:dyDescent="0.4">
      <c r="B75" s="37" t="s">
        <v>180</v>
      </c>
      <c r="C75" s="19"/>
      <c r="D75">
        <f>IF(C75="Yes",1,0)</f>
        <v>0</v>
      </c>
    </row>
    <row r="76" spans="2:10" ht="16" x14ac:dyDescent="0.4">
      <c r="B76" s="37" t="s">
        <v>181</v>
      </c>
      <c r="C76" s="19"/>
      <c r="D76">
        <f t="shared" ref="D76:D84" si="3">IF(C76="Yes",1,0)</f>
        <v>0</v>
      </c>
    </row>
    <row r="77" spans="2:10" ht="16" x14ac:dyDescent="0.4">
      <c r="B77" s="37" t="s">
        <v>182</v>
      </c>
      <c r="C77" s="19"/>
      <c r="D77">
        <f t="shared" si="3"/>
        <v>0</v>
      </c>
      <c r="E77" s="43"/>
    </row>
    <row r="78" spans="2:10" ht="16" x14ac:dyDescent="0.4">
      <c r="B78" s="37" t="s">
        <v>183</v>
      </c>
      <c r="C78" s="19"/>
      <c r="D78">
        <f t="shared" si="3"/>
        <v>0</v>
      </c>
    </row>
    <row r="79" spans="2:10" ht="16" x14ac:dyDescent="0.4">
      <c r="B79" s="37" t="s">
        <v>184</v>
      </c>
      <c r="C79" s="19"/>
      <c r="D79">
        <f t="shared" si="3"/>
        <v>0</v>
      </c>
      <c r="F79" s="44"/>
      <c r="G79" s="44"/>
      <c r="H79" s="44"/>
      <c r="I79" s="44"/>
      <c r="J79" s="44"/>
    </row>
    <row r="80" spans="2:10" ht="16" x14ac:dyDescent="0.4">
      <c r="B80" s="37" t="s">
        <v>185</v>
      </c>
      <c r="C80" s="19"/>
      <c r="D80">
        <f t="shared" si="3"/>
        <v>0</v>
      </c>
    </row>
    <row r="81" spans="1:10" ht="16" x14ac:dyDescent="0.4">
      <c r="B81" s="37" t="s">
        <v>186</v>
      </c>
      <c r="C81" s="19"/>
      <c r="D81">
        <f t="shared" si="3"/>
        <v>0</v>
      </c>
    </row>
    <row r="82" spans="1:10" ht="16" x14ac:dyDescent="0.4">
      <c r="B82" s="37" t="s">
        <v>187</v>
      </c>
      <c r="C82" s="19"/>
      <c r="D82">
        <f t="shared" si="3"/>
        <v>0</v>
      </c>
    </row>
    <row r="83" spans="1:10" ht="16" x14ac:dyDescent="0.35">
      <c r="B83" s="12" t="s">
        <v>52</v>
      </c>
      <c r="C83" s="13"/>
      <c r="D83"/>
    </row>
    <row r="84" spans="1:10" s="44" customFormat="1" ht="16.5" thickBot="1" x14ac:dyDescent="0.45">
      <c r="A84"/>
      <c r="B84" s="51" t="s">
        <v>85</v>
      </c>
      <c r="C84" s="32"/>
      <c r="D84">
        <f t="shared" si="3"/>
        <v>0</v>
      </c>
      <c r="F84"/>
      <c r="G84"/>
      <c r="H84"/>
      <c r="I84"/>
      <c r="J84"/>
    </row>
    <row r="85" spans="1:10" x14ac:dyDescent="0.35">
      <c r="D85">
        <f>SUM(D75:D84)/9</f>
        <v>0</v>
      </c>
    </row>
    <row r="86" spans="1:10" x14ac:dyDescent="0.35">
      <c r="D86"/>
    </row>
    <row r="87" spans="1:10" x14ac:dyDescent="0.35">
      <c r="D87"/>
    </row>
    <row r="88" spans="1:10" x14ac:dyDescent="0.35">
      <c r="D88"/>
    </row>
    <row r="89" spans="1:10" x14ac:dyDescent="0.35">
      <c r="D89"/>
    </row>
    <row r="90" spans="1:10" x14ac:dyDescent="0.35">
      <c r="D90"/>
    </row>
    <row r="91" spans="1:10" x14ac:dyDescent="0.35">
      <c r="D91"/>
    </row>
    <row r="92" spans="1:10" x14ac:dyDescent="0.35">
      <c r="D92"/>
    </row>
    <row r="93" spans="1:10" x14ac:dyDescent="0.35">
      <c r="D93"/>
    </row>
    <row r="94" spans="1:10" x14ac:dyDescent="0.35">
      <c r="D94"/>
    </row>
    <row r="95" spans="1:10" x14ac:dyDescent="0.35">
      <c r="D95"/>
    </row>
    <row r="96" spans="1:10" x14ac:dyDescent="0.35">
      <c r="D96"/>
    </row>
    <row r="97" spans="4:4" x14ac:dyDescent="0.35">
      <c r="D97"/>
    </row>
    <row r="98" spans="4:4" x14ac:dyDescent="0.35">
      <c r="D98"/>
    </row>
    <row r="99" spans="4:4" x14ac:dyDescent="0.35">
      <c r="D99"/>
    </row>
    <row r="100" spans="4:4" x14ac:dyDescent="0.35">
      <c r="D100"/>
    </row>
    <row r="101" spans="4:4" x14ac:dyDescent="0.35">
      <c r="D101"/>
    </row>
    <row r="102" spans="4:4" x14ac:dyDescent="0.35">
      <c r="D102"/>
    </row>
    <row r="103" spans="4:4" x14ac:dyDescent="0.35">
      <c r="D103"/>
    </row>
    <row r="104" spans="4:4" x14ac:dyDescent="0.35">
      <c r="D104"/>
    </row>
    <row r="105" spans="4:4" x14ac:dyDescent="0.35">
      <c r="D105"/>
    </row>
    <row r="106" spans="4:4" x14ac:dyDescent="0.35">
      <c r="D106"/>
    </row>
    <row r="107" spans="4:4" x14ac:dyDescent="0.35">
      <c r="D107"/>
    </row>
    <row r="108" spans="4:4" x14ac:dyDescent="0.35">
      <c r="D108"/>
    </row>
    <row r="109" spans="4:4" x14ac:dyDescent="0.35">
      <c r="D109"/>
    </row>
    <row r="110" spans="4:4" x14ac:dyDescent="0.35">
      <c r="D110"/>
    </row>
    <row r="111" spans="4:4" x14ac:dyDescent="0.35">
      <c r="D111"/>
    </row>
    <row r="112" spans="4:4" x14ac:dyDescent="0.35">
      <c r="D112"/>
    </row>
    <row r="113" spans="4:4" x14ac:dyDescent="0.35">
      <c r="D113"/>
    </row>
    <row r="114" spans="4:4" x14ac:dyDescent="0.35">
      <c r="D114"/>
    </row>
    <row r="115" spans="4:4" x14ac:dyDescent="0.35">
      <c r="D115"/>
    </row>
    <row r="116" spans="4:4" x14ac:dyDescent="0.35">
      <c r="D116"/>
    </row>
    <row r="117" spans="4:4" x14ac:dyDescent="0.35">
      <c r="D117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  <row r="124" spans="4:4" x14ac:dyDescent="0.35">
      <c r="D124"/>
    </row>
    <row r="125" spans="4:4" x14ac:dyDescent="0.35">
      <c r="D125"/>
    </row>
    <row r="126" spans="4:4" x14ac:dyDescent="0.35">
      <c r="D126"/>
    </row>
    <row r="127" spans="4:4" x14ac:dyDescent="0.35">
      <c r="D127"/>
    </row>
    <row r="128" spans="4:4" x14ac:dyDescent="0.35">
      <c r="D128"/>
    </row>
    <row r="129" spans="4:4" x14ac:dyDescent="0.35">
      <c r="D129"/>
    </row>
    <row r="130" spans="4:4" x14ac:dyDescent="0.35">
      <c r="D130"/>
    </row>
    <row r="131" spans="4:4" x14ac:dyDescent="0.35">
      <c r="D131"/>
    </row>
    <row r="132" spans="4:4" x14ac:dyDescent="0.35">
      <c r="D132"/>
    </row>
    <row r="133" spans="4:4" x14ac:dyDescent="0.35">
      <c r="D133"/>
    </row>
    <row r="134" spans="4:4" x14ac:dyDescent="0.35">
      <c r="D134"/>
    </row>
    <row r="135" spans="4:4" x14ac:dyDescent="0.35">
      <c r="D135"/>
    </row>
    <row r="136" spans="4:4" x14ac:dyDescent="0.35">
      <c r="D136"/>
    </row>
    <row r="137" spans="4:4" x14ac:dyDescent="0.35">
      <c r="D137"/>
    </row>
    <row r="138" spans="4:4" x14ac:dyDescent="0.35">
      <c r="D138"/>
    </row>
    <row r="139" spans="4:4" x14ac:dyDescent="0.35">
      <c r="D139"/>
    </row>
    <row r="140" spans="4:4" x14ac:dyDescent="0.35">
      <c r="D140"/>
    </row>
    <row r="141" spans="4:4" x14ac:dyDescent="0.35">
      <c r="D141"/>
    </row>
    <row r="142" spans="4:4" x14ac:dyDescent="0.35">
      <c r="D142"/>
    </row>
    <row r="143" spans="4:4" x14ac:dyDescent="0.35">
      <c r="D143"/>
    </row>
    <row r="144" spans="4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  <row r="148" spans="4:4" x14ac:dyDescent="0.35">
      <c r="D148"/>
    </row>
    <row r="149" spans="4:4" x14ac:dyDescent="0.35">
      <c r="D149"/>
    </row>
    <row r="150" spans="4:4" x14ac:dyDescent="0.35">
      <c r="D150"/>
    </row>
    <row r="151" spans="4:4" x14ac:dyDescent="0.35">
      <c r="D151"/>
    </row>
    <row r="152" spans="4:4" x14ac:dyDescent="0.35">
      <c r="D152"/>
    </row>
    <row r="153" spans="4:4" x14ac:dyDescent="0.35">
      <c r="D153"/>
    </row>
    <row r="154" spans="4:4" x14ac:dyDescent="0.35">
      <c r="D154"/>
    </row>
    <row r="155" spans="4:4" x14ac:dyDescent="0.35">
      <c r="D155"/>
    </row>
    <row r="156" spans="4:4" x14ac:dyDescent="0.35">
      <c r="D156"/>
    </row>
    <row r="157" spans="4:4" x14ac:dyDescent="0.35">
      <c r="D157"/>
    </row>
    <row r="158" spans="4:4" x14ac:dyDescent="0.35">
      <c r="D158"/>
    </row>
    <row r="159" spans="4:4" x14ac:dyDescent="0.35">
      <c r="D159"/>
    </row>
    <row r="160" spans="4:4" x14ac:dyDescent="0.35">
      <c r="D160"/>
    </row>
    <row r="161" spans="4:4" x14ac:dyDescent="0.35">
      <c r="D161"/>
    </row>
    <row r="162" spans="4:4" x14ac:dyDescent="0.35">
      <c r="D162"/>
    </row>
    <row r="163" spans="4:4" x14ac:dyDescent="0.35">
      <c r="D163"/>
    </row>
    <row r="164" spans="4:4" x14ac:dyDescent="0.35">
      <c r="D164"/>
    </row>
    <row r="165" spans="4:4" x14ac:dyDescent="0.35">
      <c r="D165"/>
    </row>
    <row r="166" spans="4:4" x14ac:dyDescent="0.35">
      <c r="D166"/>
    </row>
    <row r="167" spans="4:4" x14ac:dyDescent="0.35">
      <c r="D167"/>
    </row>
    <row r="168" spans="4:4" x14ac:dyDescent="0.35">
      <c r="D168"/>
    </row>
    <row r="169" spans="4:4" x14ac:dyDescent="0.35">
      <c r="D169"/>
    </row>
    <row r="170" spans="4:4" x14ac:dyDescent="0.35">
      <c r="D170"/>
    </row>
    <row r="171" spans="4:4" x14ac:dyDescent="0.35">
      <c r="D171"/>
    </row>
    <row r="172" spans="4:4" x14ac:dyDescent="0.35">
      <c r="D172"/>
    </row>
    <row r="173" spans="4:4" x14ac:dyDescent="0.35">
      <c r="D173"/>
    </row>
    <row r="174" spans="4:4" x14ac:dyDescent="0.35">
      <c r="D174"/>
    </row>
    <row r="175" spans="4:4" x14ac:dyDescent="0.35">
      <c r="D175"/>
    </row>
    <row r="176" spans="4:4" x14ac:dyDescent="0.35">
      <c r="D176"/>
    </row>
    <row r="177" spans="4:4" x14ac:dyDescent="0.35">
      <c r="D177"/>
    </row>
    <row r="178" spans="4:4" x14ac:dyDescent="0.35">
      <c r="D178"/>
    </row>
    <row r="179" spans="4:4" x14ac:dyDescent="0.35">
      <c r="D179"/>
    </row>
    <row r="180" spans="4:4" x14ac:dyDescent="0.35">
      <c r="D180"/>
    </row>
    <row r="181" spans="4:4" x14ac:dyDescent="0.35">
      <c r="D181"/>
    </row>
    <row r="182" spans="4:4" x14ac:dyDescent="0.35">
      <c r="D182"/>
    </row>
    <row r="183" spans="4:4" x14ac:dyDescent="0.35">
      <c r="D183"/>
    </row>
    <row r="184" spans="4:4" x14ac:dyDescent="0.35">
      <c r="D184"/>
    </row>
    <row r="185" spans="4:4" x14ac:dyDescent="0.35">
      <c r="D185"/>
    </row>
    <row r="186" spans="4:4" x14ac:dyDescent="0.35">
      <c r="D186"/>
    </row>
    <row r="187" spans="4:4" x14ac:dyDescent="0.35">
      <c r="D187"/>
    </row>
    <row r="188" spans="4:4" x14ac:dyDescent="0.35">
      <c r="D188"/>
    </row>
    <row r="189" spans="4:4" x14ac:dyDescent="0.35">
      <c r="D189"/>
    </row>
    <row r="190" spans="4:4" x14ac:dyDescent="0.35">
      <c r="D190"/>
    </row>
    <row r="191" spans="4:4" x14ac:dyDescent="0.35">
      <c r="D191"/>
    </row>
    <row r="192" spans="4:4" x14ac:dyDescent="0.35">
      <c r="D192"/>
    </row>
    <row r="193" spans="4:4" x14ac:dyDescent="0.35">
      <c r="D193"/>
    </row>
    <row r="194" spans="4:4" x14ac:dyDescent="0.35">
      <c r="D194"/>
    </row>
  </sheetData>
  <sheetProtection sheet="1" objects="1" scenarios="1" selectLockedCells="1"/>
  <mergeCells count="1">
    <mergeCell ref="B10:C10"/>
  </mergeCells>
  <dataValidations count="1">
    <dataValidation type="list" allowBlank="1" showInputMessage="1" showErrorMessage="1" sqref="C66:C68 C14:C21 C23:C25 C27:C30 C42:C43 C49:C51 C53:C56 C58:C60 C62:C64 C75:C82 C70:C72 C84 C32:C40" xr:uid="{D3E26E12-BDFF-4CB7-A31C-33A2784EAC7D}">
      <formula1>"Yes, 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Branch Summary </vt:lpstr>
      <vt:lpstr>Participant 1</vt:lpstr>
      <vt:lpstr>Participant 2</vt:lpstr>
      <vt:lpstr>Participant 3</vt:lpstr>
      <vt:lpstr>Participant 4</vt:lpstr>
      <vt:lpstr>Participant 5</vt:lpstr>
      <vt:lpstr>Patricipant 6</vt:lpstr>
      <vt:lpstr>Participant 7</vt:lpstr>
      <vt:lpstr>Participant 8</vt:lpstr>
      <vt:lpstr>Participant 9</vt:lpstr>
      <vt:lpstr>Participant 10</vt:lpstr>
      <vt:lpstr>GRO 1</vt:lpstr>
      <vt:lpstr>GRO 2</vt:lpstr>
      <vt:lpstr>GRO 3</vt:lpstr>
      <vt:lpstr>Handover Specialist 1</vt:lpstr>
      <vt:lpstr>Handover Specialist 2</vt:lpstr>
      <vt:lpstr>Handover Specialist 3</vt:lpstr>
    </vt:vector>
  </TitlesOfParts>
  <Manager/>
  <Company>Alfuttaim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Louchran</dc:creator>
  <cp:keywords/>
  <dc:description/>
  <cp:lastModifiedBy>Fatma Alsagaf</cp:lastModifiedBy>
  <cp:revision/>
  <dcterms:created xsi:type="dcterms:W3CDTF">2025-10-17T07:17:11Z</dcterms:created>
  <dcterms:modified xsi:type="dcterms:W3CDTF">2025-11-18T12:16:02Z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d4a8f4-78b6-4840-a933-c8028c0bda3d_Enabled">
    <vt:lpwstr>true</vt:lpwstr>
  </property>
  <property fmtid="{D5CDD505-2E9C-101B-9397-08002B2CF9AE}" pid="3" name="MSIP_Label_e7d4a8f4-78b6-4840-a933-c8028c0bda3d_SetDate">
    <vt:lpwstr>2025-10-17T07:17:23Z</vt:lpwstr>
  </property>
  <property fmtid="{D5CDD505-2E9C-101B-9397-08002B2CF9AE}" pid="4" name="MSIP_Label_e7d4a8f4-78b6-4840-a933-c8028c0bda3d_Method">
    <vt:lpwstr>Standard</vt:lpwstr>
  </property>
  <property fmtid="{D5CDD505-2E9C-101B-9397-08002B2CF9AE}" pid="5" name="MSIP_Label_e7d4a8f4-78b6-4840-a933-c8028c0bda3d_Name">
    <vt:lpwstr>Confidential Internal</vt:lpwstr>
  </property>
  <property fmtid="{D5CDD505-2E9C-101B-9397-08002B2CF9AE}" pid="6" name="MSIP_Label_e7d4a8f4-78b6-4840-a933-c8028c0bda3d_SiteId">
    <vt:lpwstr>79ddd250-40e1-4d41-ba0f-c9e9849725cb</vt:lpwstr>
  </property>
  <property fmtid="{D5CDD505-2E9C-101B-9397-08002B2CF9AE}" pid="7" name="MSIP_Label_e7d4a8f4-78b6-4840-a933-c8028c0bda3d_ActionId">
    <vt:lpwstr>438a2e8c-d033-4784-acca-48f690716dad</vt:lpwstr>
  </property>
  <property fmtid="{D5CDD505-2E9C-101B-9397-08002B2CF9AE}" pid="8" name="MSIP_Label_e7d4a8f4-78b6-4840-a933-c8028c0bda3d_ContentBits">
    <vt:lpwstr>2</vt:lpwstr>
  </property>
  <property fmtid="{D5CDD505-2E9C-101B-9397-08002B2CF9AE}" pid="9" name="MSIP_Label_e7d4a8f4-78b6-4840-a933-c8028c0bda3d_Tag">
    <vt:lpwstr>10, 1, 2, 1</vt:lpwstr>
  </property>
</Properties>
</file>